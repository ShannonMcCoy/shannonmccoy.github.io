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erma\Downloads\"/>
    </mc:Choice>
  </mc:AlternateContent>
  <xr:revisionPtr revIDLastSave="0" documentId="13_ncr:1_{44E1BABE-C4AF-45CA-927F-5699F854BC32}" xr6:coauthVersionLast="47" xr6:coauthVersionMax="47" xr10:uidLastSave="{00000000-0000-0000-0000-000000000000}"/>
  <bookViews>
    <workbookView xWindow="-120" yWindow="-120" windowWidth="29040" windowHeight="15720" tabRatio="892" activeTab="8" xr2:uid="{00000000-000D-0000-FFFF-FFFF00000000}"/>
  </bookViews>
  <sheets>
    <sheet name="Team" sheetId="32" r:id="rId1"/>
    <sheet name="Team Velocity" sheetId="22" r:id="rId2"/>
    <sheet name="Objective " sheetId="35" r:id="rId3"/>
    <sheet name="Release Board " sheetId="9" r:id="rId4"/>
    <sheet name="Sprints Board" sheetId="36" r:id="rId5"/>
    <sheet name="Risks and Dependencies" sheetId="13" r:id="rId6"/>
    <sheet name="Sprints Board Breakdown" sheetId="37" r:id="rId7"/>
    <sheet name="Release Breakdown - Mgmt" sheetId="30" r:id="rId8"/>
    <sheet name="Commit vs Achieved Chart - Mgmt" sheetId="31" r:id="rId9"/>
    <sheet name="Lookups" sheetId="33" r:id="rId10"/>
    <sheet name="Work Distribution" sheetId="34" r:id="rId11"/>
  </sheets>
  <externalReferences>
    <externalReference r:id="rId12"/>
  </externalReferences>
  <definedNames>
    <definedName name="_xlnm.Print_Area" localSheetId="2">'Objective '!$B$3:$C$15</definedName>
    <definedName name="SprintsCompleted">'[1]SPR burn up'!$B$4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37" l="1"/>
  <c r="I32" i="37"/>
  <c r="S35" i="37"/>
  <c r="S34" i="37"/>
  <c r="S33" i="37"/>
  <c r="S32" i="37"/>
  <c r="AC23" i="37"/>
  <c r="AC22" i="37"/>
  <c r="AC21" i="37"/>
  <c r="AC10" i="37"/>
  <c r="AC9" i="37"/>
  <c r="S10" i="37"/>
  <c r="S9" i="37"/>
  <c r="I10" i="37"/>
  <c r="I9" i="37"/>
  <c r="I8" i="37"/>
  <c r="I7" i="37"/>
  <c r="I6" i="37"/>
  <c r="B9" i="22"/>
  <c r="B8" i="22"/>
  <c r="B7" i="22"/>
  <c r="B6" i="22"/>
  <c r="AC8" i="37" l="1"/>
  <c r="AC17" i="37"/>
  <c r="AC7" i="37"/>
  <c r="AC9" i="22" l="1"/>
  <c r="AC8" i="22"/>
  <c r="AC7" i="22"/>
  <c r="AC6" i="22"/>
  <c r="AB9" i="22"/>
  <c r="AB7" i="22"/>
  <c r="AB8" i="22"/>
  <c r="AB6" i="22"/>
  <c r="AA6" i="22"/>
  <c r="AA7" i="22"/>
  <c r="AA8" i="22"/>
  <c r="AA9" i="22"/>
  <c r="AC5" i="37" l="1"/>
  <c r="S8" i="37"/>
  <c r="U4" i="9" l="1"/>
  <c r="X4" i="9" l="1"/>
  <c r="S20" i="37" l="1"/>
  <c r="S19" i="37"/>
  <c r="S31" i="37"/>
  <c r="I20" i="37"/>
  <c r="I31" i="37"/>
  <c r="AC6" i="37"/>
  <c r="I19" i="37"/>
  <c r="R39" i="37"/>
  <c r="Q39" i="37"/>
  <c r="P39" i="37"/>
  <c r="O39" i="37"/>
  <c r="T28" i="37"/>
  <c r="X3" i="22"/>
  <c r="L28" i="37"/>
  <c r="Z10" i="22"/>
  <c r="Y10" i="22"/>
  <c r="X10" i="22"/>
  <c r="H27" i="36" s="1"/>
  <c r="R37" i="37"/>
  <c r="Q37" i="37"/>
  <c r="Q38" i="37" s="1"/>
  <c r="P37" i="37"/>
  <c r="P38" i="37" s="1"/>
  <c r="O37" i="37"/>
  <c r="S36" i="37"/>
  <c r="S30" i="37"/>
  <c r="S37" i="37" l="1"/>
  <c r="O38" i="37"/>
  <c r="X11" i="22"/>
  <c r="Y15" i="22" s="1"/>
  <c r="H28" i="36" s="1"/>
  <c r="R38" i="37"/>
  <c r="S18" i="37"/>
  <c r="S17" i="37"/>
  <c r="AC20" i="37"/>
  <c r="I18" i="37"/>
  <c r="I17" i="37"/>
  <c r="AC18" i="37"/>
  <c r="AC19" i="37"/>
  <c r="I34" i="37"/>
  <c r="I35" i="37"/>
  <c r="H39" i="37"/>
  <c r="G39" i="37"/>
  <c r="F39" i="37"/>
  <c r="E39" i="37"/>
  <c r="AB27" i="37"/>
  <c r="AA27" i="37"/>
  <c r="Z27" i="37"/>
  <c r="Y27" i="37"/>
  <c r="R27" i="37"/>
  <c r="Q27" i="37"/>
  <c r="P27" i="37"/>
  <c r="O27" i="37"/>
  <c r="H27" i="37"/>
  <c r="G27" i="37"/>
  <c r="F27" i="37"/>
  <c r="E27" i="37"/>
  <c r="AB14" i="37"/>
  <c r="AA14" i="37"/>
  <c r="Z14" i="37"/>
  <c r="Y14" i="37"/>
  <c r="R14" i="37"/>
  <c r="Q14" i="37"/>
  <c r="P14" i="37"/>
  <c r="O14" i="37"/>
  <c r="H14" i="37"/>
  <c r="G14" i="37"/>
  <c r="F14" i="37"/>
  <c r="E14" i="37"/>
  <c r="AC24" i="37"/>
  <c r="I36" i="37"/>
  <c r="AC11" i="37"/>
  <c r="S11" i="37"/>
  <c r="I11" i="37"/>
  <c r="X14" i="22" l="1"/>
  <c r="T29" i="37"/>
  <c r="X12" i="22"/>
  <c r="X13" i="22"/>
  <c r="H37" i="37"/>
  <c r="H38" i="37" s="1"/>
  <c r="G37" i="37"/>
  <c r="G38" i="37" s="1"/>
  <c r="F37" i="37"/>
  <c r="F38" i="37" s="1"/>
  <c r="E37" i="37"/>
  <c r="E38" i="37" s="1"/>
  <c r="I30" i="37"/>
  <c r="I37" i="37" s="1"/>
  <c r="B28" i="37"/>
  <c r="AC25" i="37"/>
  <c r="AB25" i="37"/>
  <c r="AB26" i="37" s="1"/>
  <c r="AA25" i="37"/>
  <c r="AA26" i="37" s="1"/>
  <c r="Z25" i="37"/>
  <c r="Z26" i="37" s="1"/>
  <c r="Y25" i="37"/>
  <c r="Y26" i="37" s="1"/>
  <c r="R25" i="37"/>
  <c r="R26" i="37" s="1"/>
  <c r="Q25" i="37"/>
  <c r="Q26" i="37" s="1"/>
  <c r="P25" i="37"/>
  <c r="P26" i="37" s="1"/>
  <c r="O25" i="37"/>
  <c r="O26" i="37" s="1"/>
  <c r="H25" i="37"/>
  <c r="H26" i="37" s="1"/>
  <c r="G25" i="37"/>
  <c r="G26" i="37" s="1"/>
  <c r="F25" i="37"/>
  <c r="F26" i="37" s="1"/>
  <c r="E25" i="37"/>
  <c r="E26" i="37" s="1"/>
  <c r="S24" i="37"/>
  <c r="I24" i="37"/>
  <c r="AD15" i="37"/>
  <c r="V15" i="37"/>
  <c r="L15" i="37"/>
  <c r="B15" i="37"/>
  <c r="AB12" i="37"/>
  <c r="AB13" i="37" s="1"/>
  <c r="AA12" i="37"/>
  <c r="AA13" i="37" s="1"/>
  <c r="Z12" i="37"/>
  <c r="Z13" i="37" s="1"/>
  <c r="Y12" i="37"/>
  <c r="Y13" i="37" s="1"/>
  <c r="R12" i="37"/>
  <c r="R13" i="37" s="1"/>
  <c r="Q12" i="37"/>
  <c r="Q13" i="37" s="1"/>
  <c r="P12" i="37"/>
  <c r="P13" i="37" s="1"/>
  <c r="O12" i="37"/>
  <c r="O13" i="37" s="1"/>
  <c r="H12" i="37"/>
  <c r="H13" i="37" s="1"/>
  <c r="G12" i="37"/>
  <c r="G13" i="37" s="1"/>
  <c r="F12" i="37"/>
  <c r="F13" i="37" s="1"/>
  <c r="E12" i="37"/>
  <c r="E13" i="37" s="1"/>
  <c r="S7" i="37"/>
  <c r="S6" i="37"/>
  <c r="S5" i="37"/>
  <c r="I5" i="37"/>
  <c r="AC4" i="37"/>
  <c r="S4" i="37"/>
  <c r="S12" i="37" s="1"/>
  <c r="I4" i="37"/>
  <c r="V2" i="37"/>
  <c r="T2" i="37"/>
  <c r="L2" i="37"/>
  <c r="B2" i="37"/>
  <c r="F2" i="36"/>
  <c r="B27" i="36"/>
  <c r="J14" i="36"/>
  <c r="F14" i="36"/>
  <c r="B14" i="36"/>
  <c r="J2" i="36"/>
  <c r="B2" i="36"/>
  <c r="G34" i="30"/>
  <c r="F25" i="31"/>
  <c r="B24" i="31"/>
  <c r="B22" i="31"/>
  <c r="U3" i="22"/>
  <c r="W10" i="22"/>
  <c r="V10" i="22"/>
  <c r="U11" i="22" s="1"/>
  <c r="U10" i="22"/>
  <c r="J28" i="37" s="1"/>
  <c r="D10" i="22"/>
  <c r="C19" i="22"/>
  <c r="R4" i="9"/>
  <c r="O4" i="9"/>
  <c r="L4" i="9"/>
  <c r="I4" i="9"/>
  <c r="F4" i="9"/>
  <c r="C4" i="9"/>
  <c r="R3" i="22"/>
  <c r="O3" i="22"/>
  <c r="L3" i="22"/>
  <c r="I3" i="22"/>
  <c r="F3" i="22"/>
  <c r="C3" i="22"/>
  <c r="B19" i="31"/>
  <c r="B20" i="31"/>
  <c r="B21" i="31"/>
  <c r="B23" i="31"/>
  <c r="B18" i="31"/>
  <c r="D6" i="33"/>
  <c r="B3" i="37" s="1"/>
  <c r="C5" i="9"/>
  <c r="E6" i="33"/>
  <c r="D3" i="37" s="1"/>
  <c r="D18" i="31"/>
  <c r="C18" i="31"/>
  <c r="C4" i="22"/>
  <c r="E5" i="9"/>
  <c r="E4" i="22"/>
  <c r="T10" i="22"/>
  <c r="S10" i="22"/>
  <c r="R10" i="22"/>
  <c r="L14" i="36"/>
  <c r="Q10" i="22"/>
  <c r="P10" i="22"/>
  <c r="O10" i="22"/>
  <c r="T15" i="37" s="1"/>
  <c r="H14" i="36"/>
  <c r="N10" i="22"/>
  <c r="M10" i="22"/>
  <c r="L10" i="22"/>
  <c r="J15" i="37" s="1"/>
  <c r="K10" i="22"/>
  <c r="J10" i="22"/>
  <c r="I10" i="22"/>
  <c r="AD2" i="37" s="1"/>
  <c r="L2" i="36"/>
  <c r="H10" i="22"/>
  <c r="G10" i="22"/>
  <c r="F10" i="22"/>
  <c r="H2" i="36"/>
  <c r="E10" i="22"/>
  <c r="C10" i="22"/>
  <c r="F40" i="30"/>
  <c r="L11" i="22" l="1"/>
  <c r="O11" i="22"/>
  <c r="P15" i="22" s="1"/>
  <c r="H15" i="36" s="1"/>
  <c r="D7" i="33"/>
  <c r="D27" i="36"/>
  <c r="D14" i="36"/>
  <c r="M15" i="22"/>
  <c r="D15" i="36" s="1"/>
  <c r="J2" i="37"/>
  <c r="AA10" i="22"/>
  <c r="R11" i="22"/>
  <c r="S15" i="22" s="1"/>
  <c r="L15" i="36" s="1"/>
  <c r="AC10" i="22"/>
  <c r="I11" i="22"/>
  <c r="J15" i="22" s="1"/>
  <c r="AD3" i="37" s="1"/>
  <c r="AB10" i="22"/>
  <c r="J16" i="37"/>
  <c r="L14" i="22"/>
  <c r="L12" i="22"/>
  <c r="O13" i="22"/>
  <c r="O12" i="22"/>
  <c r="T16" i="37"/>
  <c r="O14" i="22"/>
  <c r="AD16" i="37"/>
  <c r="R12" i="22"/>
  <c r="C11" i="22"/>
  <c r="D15" i="22" s="1"/>
  <c r="F11" i="22"/>
  <c r="G15" i="22" s="1"/>
  <c r="V15" i="22"/>
  <c r="D2" i="36"/>
  <c r="S25" i="37"/>
  <c r="I25" i="37"/>
  <c r="AC12" i="37"/>
  <c r="I12" i="37"/>
  <c r="L3" i="37" l="1"/>
  <c r="F4" i="22"/>
  <c r="C19" i="31"/>
  <c r="F5" i="9"/>
  <c r="E7" i="33"/>
  <c r="I14" i="22"/>
  <c r="E22" i="31"/>
  <c r="G22" i="31" s="1"/>
  <c r="E21" i="31"/>
  <c r="G21" i="31" s="1"/>
  <c r="L13" i="22"/>
  <c r="L3" i="36"/>
  <c r="E23" i="31"/>
  <c r="G23" i="31" s="1"/>
  <c r="R14" i="22"/>
  <c r="R13" i="22"/>
  <c r="AA11" i="22"/>
  <c r="AB15" i="22" s="1"/>
  <c r="AA12" i="22" s="1"/>
  <c r="C22" i="22"/>
  <c r="E20" i="31"/>
  <c r="G20" i="31" s="1"/>
  <c r="I12" i="22"/>
  <c r="I13" i="22"/>
  <c r="C17" i="22"/>
  <c r="C14" i="22"/>
  <c r="E18" i="31"/>
  <c r="C20" i="22"/>
  <c r="J3" i="37"/>
  <c r="C18" i="22"/>
  <c r="D3" i="36"/>
  <c r="C13" i="22"/>
  <c r="C21" i="22"/>
  <c r="C12" i="22"/>
  <c r="J29" i="37"/>
  <c r="D28" i="36"/>
  <c r="U12" i="22"/>
  <c r="E24" i="31"/>
  <c r="G24" i="31" s="1"/>
  <c r="U13" i="22"/>
  <c r="U14" i="22"/>
  <c r="T3" i="37"/>
  <c r="F14" i="22"/>
  <c r="H3" i="36"/>
  <c r="F12" i="22"/>
  <c r="F13" i="22"/>
  <c r="E19" i="31"/>
  <c r="G19" i="31" s="1"/>
  <c r="N3" i="37" l="1"/>
  <c r="D8" i="33"/>
  <c r="D19" i="31"/>
  <c r="H4" i="22"/>
  <c r="H5" i="9"/>
  <c r="M2" i="30"/>
  <c r="H30" i="30" s="1"/>
  <c r="AA13" i="22"/>
  <c r="AA14" i="22"/>
  <c r="E25" i="31"/>
  <c r="G25" i="31" s="1"/>
  <c r="G18" i="31"/>
  <c r="V3" i="37" l="1"/>
  <c r="C20" i="31"/>
  <c r="I5" i="9"/>
  <c r="I4" i="22"/>
  <c r="E8" i="33"/>
  <c r="H29" i="30"/>
  <c r="H32" i="30"/>
  <c r="H28" i="30"/>
  <c r="H31" i="30"/>
  <c r="H33" i="30"/>
  <c r="X3" i="37" l="1"/>
  <c r="K4" i="22"/>
  <c r="D20" i="31"/>
  <c r="D9" i="33"/>
  <c r="K5" i="9"/>
  <c r="I28" i="30"/>
  <c r="I31" i="30"/>
  <c r="H34" i="30"/>
  <c r="B16" i="37" l="1"/>
  <c r="L4" i="22"/>
  <c r="C21" i="31"/>
  <c r="E9" i="33"/>
  <c r="L5" i="9"/>
  <c r="I34" i="30"/>
  <c r="D16" i="37" l="1"/>
  <c r="N4" i="22"/>
  <c r="D21" i="31"/>
  <c r="D10" i="33"/>
  <c r="N5" i="9"/>
  <c r="L16" i="37" l="1"/>
  <c r="O4" i="22"/>
  <c r="E10" i="33"/>
  <c r="C22" i="31"/>
  <c r="O5" i="9"/>
  <c r="N16" i="37" l="1"/>
  <c r="D11" i="33"/>
  <c r="Q5" i="9"/>
  <c r="D22" i="31"/>
  <c r="Q4" i="22"/>
  <c r="V16" i="37" l="1"/>
  <c r="R4" i="22"/>
  <c r="C23" i="31"/>
  <c r="E11" i="33"/>
  <c r="R5" i="9"/>
  <c r="X16" i="37" l="1"/>
  <c r="D23" i="31"/>
  <c r="T5" i="9"/>
  <c r="D12" i="33"/>
  <c r="T4" i="22"/>
  <c r="U5" i="9" l="1"/>
  <c r="B29" i="37"/>
  <c r="U4" i="22"/>
  <c r="C24" i="31"/>
  <c r="E12" i="33"/>
  <c r="W5" i="9" l="1"/>
  <c r="D13" i="33"/>
  <c r="D29" i="37"/>
  <c r="D24" i="31"/>
  <c r="W4" i="22"/>
  <c r="X5" i="9" l="1"/>
  <c r="L29" i="37"/>
  <c r="X4" i="22"/>
  <c r="E13" i="33"/>
  <c r="Z5" i="9" l="1"/>
  <c r="Z4" i="22"/>
  <c r="N29" i="3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Pritesh Patel</author>
  </authors>
  <commentList>
    <comment ref="C3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Pritesh Patel:</t>
        </r>
        <r>
          <rPr>
            <sz val="9"/>
            <color indexed="81"/>
            <rFont val="Tahoma"/>
            <family val="2"/>
          </rPr>
          <t xml:space="preserve">
ROAM = Resolve, Own, Accept, Mitigate</t>
        </r>
      </text>
    </comment>
    <comment ref="E3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Pritesh Patel:</t>
        </r>
        <r>
          <rPr>
            <sz val="9"/>
            <color indexed="81"/>
            <rFont val="Tahoma"/>
            <family val="2"/>
          </rPr>
          <t xml:space="preserve">
Low, Medium, High</t>
        </r>
      </text>
    </comment>
  </commentList>
</comments>
</file>

<file path=xl/sharedStrings.xml><?xml version="1.0" encoding="utf-8"?>
<sst xmlns="http://schemas.openxmlformats.org/spreadsheetml/2006/main" count="356" uniqueCount="162">
  <si>
    <t>Release Version</t>
  </si>
  <si>
    <t>Planning Date:</t>
  </si>
  <si>
    <t>Release Date:</t>
  </si>
  <si>
    <t>Team</t>
  </si>
  <si>
    <t>Name</t>
  </si>
  <si>
    <t>Role</t>
  </si>
  <si>
    <t>Location</t>
  </si>
  <si>
    <t>Sr. Developer</t>
  </si>
  <si>
    <t>Office - Birmingham</t>
  </si>
  <si>
    <t>Bala</t>
  </si>
  <si>
    <t>Bidya</t>
  </si>
  <si>
    <t>Developer</t>
  </si>
  <si>
    <t>Remote - HCL</t>
  </si>
  <si>
    <t>Pavithra</t>
  </si>
  <si>
    <t>QA</t>
  </si>
  <si>
    <t>Sherri</t>
  </si>
  <si>
    <t>Office - Wallingford</t>
  </si>
  <si>
    <t>Documentation</t>
  </si>
  <si>
    <t>BA</t>
  </si>
  <si>
    <t>Sr. Dev Manager</t>
  </si>
  <si>
    <t>PO</t>
  </si>
  <si>
    <t>*Please update items in RED</t>
  </si>
  <si>
    <t>Team Members</t>
  </si>
  <si>
    <t>Cumulative</t>
  </si>
  <si>
    <t>-</t>
  </si>
  <si>
    <t>Load</t>
  </si>
  <si>
    <t>PTO</t>
  </si>
  <si>
    <t>Holiday</t>
  </si>
  <si>
    <t>Total</t>
  </si>
  <si>
    <t>PTO + Holiday</t>
  </si>
  <si>
    <t>Unplanned (15% of Load)</t>
  </si>
  <si>
    <t>Bug Fixes (20% of Load)</t>
  </si>
  <si>
    <t>Enhancement \ Regulatory (65% of Load)</t>
  </si>
  <si>
    <t>Team Capacity</t>
  </si>
  <si>
    <t>Memorial Day</t>
  </si>
  <si>
    <t>SIS Team Objective</t>
  </si>
  <si>
    <t>Delivery</t>
  </si>
  <si>
    <t>Business Value</t>
  </si>
  <si>
    <t>2017 ASCA Benchmarking Report Updates</t>
  </si>
  <si>
    <r>
      <t> </t>
    </r>
    <r>
      <rPr>
        <sz val="12"/>
        <color theme="1"/>
        <rFont val="Calibri"/>
        <family val="2"/>
      </rPr>
      <t>10</t>
    </r>
  </si>
  <si>
    <t>Features</t>
  </si>
  <si>
    <t>37 SP</t>
  </si>
  <si>
    <t>milestones mainly for STR or CodeSoure etc.  End date in delivery for SK or ver</t>
  </si>
  <si>
    <t xml:space="preserve"> Velocity : </t>
  </si>
  <si>
    <t xml:space="preserve">Load : </t>
  </si>
  <si>
    <t>Legends:</t>
  </si>
  <si>
    <t>Enhancements</t>
  </si>
  <si>
    <t>Regulatory</t>
  </si>
  <si>
    <t>SQL 2016</t>
  </si>
  <si>
    <t>Technical Debit</t>
  </si>
  <si>
    <t>Bug Fixes</t>
  </si>
  <si>
    <t>Support\Unscheduled Maintainace</t>
  </si>
  <si>
    <t>Spike</t>
  </si>
  <si>
    <t>Totals</t>
  </si>
  <si>
    <t>777 - SIS (X12P/X12I) 2330B NM109 must be specific payer ID when the sec payer mandates.</t>
  </si>
  <si>
    <t>Risks</t>
  </si>
  <si>
    <t>#</t>
  </si>
  <si>
    <t>ROAM</t>
  </si>
  <si>
    <t>RISK</t>
  </si>
  <si>
    <t>POSSIBILITY \ IMPACT</t>
  </si>
  <si>
    <t>MITIGATION PLAN</t>
  </si>
  <si>
    <t>Dependencies</t>
  </si>
  <si>
    <t>Contact and Team</t>
  </si>
  <si>
    <t>Dependency Description</t>
  </si>
  <si>
    <t>Date Estimated</t>
  </si>
  <si>
    <t>Impact</t>
  </si>
  <si>
    <t>DEV</t>
  </si>
  <si>
    <t>BT</t>
  </si>
  <si>
    <t>BJ</t>
  </si>
  <si>
    <t>SC</t>
  </si>
  <si>
    <t>PR</t>
  </si>
  <si>
    <t xml:space="preserve">    </t>
  </si>
  <si>
    <t>Total (SP)</t>
  </si>
  <si>
    <t>Secondary Claim edit (COB) for balance validation</t>
  </si>
  <si>
    <t>Patient Estimates (fee estimation) for transparencey compliance</t>
  </si>
  <si>
    <t>Regulatory  (CAP)</t>
  </si>
  <si>
    <r>
      <t xml:space="preserve">State Report - Non Common - Common - MO, </t>
    </r>
    <r>
      <rPr>
        <sz val="11"/>
        <color theme="1"/>
        <rFont val="Calibri"/>
        <family val="2"/>
        <scheme val="minor"/>
      </rPr>
      <t>SC</t>
    </r>
    <r>
      <rPr>
        <sz val="11"/>
        <color theme="1"/>
        <rFont val="Calibri"/>
        <family val="2"/>
        <scheme val="minor"/>
      </rPr>
      <t>, FL</t>
    </r>
  </si>
  <si>
    <t>ASC 13 Normothermia Outcome Measure - Placeholder</t>
  </si>
  <si>
    <t>ASC 14 Unplanned Anterior Vitrectomy - Placeholder</t>
  </si>
  <si>
    <t>ASC 15a-e OAS CAHPS - Placeholder</t>
  </si>
  <si>
    <t xml:space="preserve">Automate Submission/Transmission for OAS CAHPS Data - PLACEHOLDER </t>
  </si>
  <si>
    <t>NV - SSN update</t>
  </si>
  <si>
    <t>CT - White paper change for payer codes</t>
  </si>
  <si>
    <t>Regulatory (Non-CAP)</t>
  </si>
  <si>
    <t>Windows 2016</t>
  </si>
  <si>
    <t>Setting up environments</t>
  </si>
  <si>
    <t>Maintenance</t>
  </si>
  <si>
    <t>136 - NV Country Code update</t>
  </si>
  <si>
    <t>172 - X12P Must pull Loop 2300 HI*BP when ANES service are being billed</t>
  </si>
  <si>
    <t>140 - Update X12i map to indicate if 2330B REF*2U is populated then it will pull</t>
  </si>
  <si>
    <t>Stretch goal -  EFT not appearing in all locations in Billing Module</t>
  </si>
  <si>
    <t>Support\Unscheduled Maintenance</t>
  </si>
  <si>
    <t>Category</t>
  </si>
  <si>
    <t>Story Points</t>
  </si>
  <si>
    <t>Allocation %</t>
  </si>
  <si>
    <t>Total Allocation %</t>
  </si>
  <si>
    <t>CAP</t>
  </si>
  <si>
    <t>Regulatory (CAP)</t>
  </si>
  <si>
    <t>Non-CAP</t>
  </si>
  <si>
    <t>Total SP</t>
  </si>
  <si>
    <t>Sprint Name</t>
  </si>
  <si>
    <t>Sprint Start</t>
  </si>
  <si>
    <t>Sprint End</t>
  </si>
  <si>
    <t>SP Committed</t>
  </si>
  <si>
    <t>SP Achieved</t>
  </si>
  <si>
    <t>% Delivered</t>
  </si>
  <si>
    <t>Sprint Start Date:</t>
  </si>
  <si>
    <t>Sprint Length</t>
  </si>
  <si>
    <t>Sprint 1</t>
  </si>
  <si>
    <t>Sprint 2</t>
  </si>
  <si>
    <t>Sprint 3</t>
  </si>
  <si>
    <t>Sprint 4</t>
  </si>
  <si>
    <t>Sprint 5</t>
  </si>
  <si>
    <t>Sprint 6</t>
  </si>
  <si>
    <t>Sprint 7</t>
  </si>
  <si>
    <t>Sprint 8</t>
  </si>
  <si>
    <t>Sprint 9</t>
  </si>
  <si>
    <t>Capacity</t>
  </si>
  <si>
    <t>Track</t>
  </si>
  <si>
    <t>Moving test cases from JIRA to TFS</t>
  </si>
  <si>
    <t>Srpint 8 (1 WK HIP)</t>
  </si>
  <si>
    <t>v8.0</t>
  </si>
  <si>
    <t>Office - Birmingham/Remote</t>
  </si>
  <si>
    <t>Scrum Master</t>
  </si>
  <si>
    <t>PM</t>
  </si>
  <si>
    <t>Remote</t>
  </si>
  <si>
    <t>Sprint 8 (1 WK HIP)</t>
  </si>
  <si>
    <t>ProductName</t>
  </si>
  <si>
    <t>TeamMember1</t>
  </si>
  <si>
    <t>TeamMember2</t>
  </si>
  <si>
    <t>TeamMember3</t>
  </si>
  <si>
    <t>TeamMember4</t>
  </si>
  <si>
    <t>TeamMember5</t>
  </si>
  <si>
    <t>TeamMember6</t>
  </si>
  <si>
    <t>TeamMember7</t>
  </si>
  <si>
    <t>TeamMember8</t>
  </si>
  <si>
    <t>TeamMember9</t>
  </si>
  <si>
    <t>TeamMember10</t>
  </si>
  <si>
    <t>Item 1</t>
  </si>
  <si>
    <t>Prod v.Y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</si>
  <si>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</si>
  <si>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</si>
  <si>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</si>
  <si>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</si>
  <si>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</si>
  <si>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</si>
  <si>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</si>
  <si>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</si>
  <si>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r>
      <rPr>
        <b/>
        <sz val="11"/>
        <color rgb="FFFF0000"/>
        <rFont val="Calibri"/>
        <family val="2"/>
        <scheme val="minor"/>
      </rPr>
      <t>Stretch Goals</t>
    </r>
    <r>
      <rPr>
        <sz val="11"/>
        <color theme="1"/>
        <rFont val="Calibri"/>
        <family val="2"/>
        <charset val="204"/>
        <scheme val="minor"/>
      </rPr>
      <t xml:space="preserve"> - [List out stretch goals]</t>
    </r>
  </si>
  <si>
    <t xml:space="preserve">2/27 - vY Interim Build 
for InterOp
</t>
  </si>
  <si>
    <t>4/24 - StRpt vX
4/17 - Prod vY Interim Build to InterOp (Windows 2016)</t>
  </si>
  <si>
    <t>5/3 - Prod vY</t>
  </si>
  <si>
    <t>2/13 - Prod vX</t>
  </si>
  <si>
    <t>• Tech Debt - Item 1</t>
  </si>
  <si>
    <t>• Item 2</t>
  </si>
  <si>
    <t>• Item 3</t>
  </si>
  <si>
    <r>
      <t>• Item 4</t>
    </r>
    <r>
      <rPr>
        <b/>
        <sz val="14"/>
        <color theme="1"/>
        <rFont val="Calibri"/>
        <family val="2"/>
        <scheme val="minor"/>
      </rPr>
      <t xml:space="preserve"> [PLACE HOLDER]</t>
    </r>
  </si>
  <si>
    <r>
      <t xml:space="preserve">• Item 5 </t>
    </r>
    <r>
      <rPr>
        <b/>
        <sz val="14"/>
        <color theme="1"/>
        <rFont val="Calibri"/>
        <family val="2"/>
        <scheme val="minor"/>
      </rPr>
      <t>[PLACE HOLDER]</t>
    </r>
    <r>
      <rPr>
        <sz val="14"/>
        <color theme="1"/>
        <rFont val="Calibri"/>
        <family val="2"/>
        <charset val="204"/>
        <scheme val="minor"/>
      </rPr>
      <t xml:space="preserve">
• Item 6</t>
    </r>
  </si>
  <si>
    <r>
      <t xml:space="preserve">• Item 7
• Item 8
• Item 9 </t>
    </r>
    <r>
      <rPr>
        <b/>
        <sz val="14"/>
        <color theme="1"/>
        <rFont val="Calibri"/>
        <family val="2"/>
        <charset val="204"/>
        <scheme val="minor"/>
      </rPr>
      <t xml:space="preserve">[PLACE HOLDER]
</t>
    </r>
    <r>
      <rPr>
        <sz val="14"/>
        <color theme="1"/>
        <rFont val="Calibri"/>
        <family val="2"/>
        <scheme val="minor"/>
      </rPr>
      <t>• Item 10</t>
    </r>
  </si>
  <si>
    <r>
      <t xml:space="preserve">• Item 11
• Item 12 </t>
    </r>
    <r>
      <rPr>
        <b/>
        <sz val="14"/>
        <color theme="1"/>
        <rFont val="Calibri"/>
        <family val="2"/>
        <scheme val="minor"/>
      </rPr>
      <t>[PLACE HOLDER]</t>
    </r>
  </si>
  <si>
    <t>• Item 13
• Bug Fixes
• End to End testing</t>
  </si>
  <si>
    <t>Support\Unscheduled Maintainace = TM1, TM2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</si>
</sst>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;@"/>
    <numFmt numFmtId="165" formatCode="[$-409]d\-mmm;@"/>
    <numFmt numFmtId="166" formatCode="m/d;@"/>
  </numFmts>
  <fonts count="6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2"/>
      <color theme="1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charset val="204"/>
    </font>
    <font>
      <sz val="12"/>
      <color theme="1"/>
      <name val="Calibri"/>
      <family val="2"/>
      <charset val="204"/>
      <scheme val="minor"/>
    </font>
    <font>
      <b/>
      <sz val="12"/>
      <color theme="0"/>
      <name val="Calibri"/>
      <family val="2"/>
      <charset val="204"/>
    </font>
    <font>
      <b/>
      <sz val="12"/>
      <color theme="0"/>
      <name val="Calibri"/>
      <family val="2"/>
      <charset val="204"/>
      <scheme val="minor"/>
    </font>
    <font>
      <sz val="12"/>
      <color theme="0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4"/>
      <color theme="0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b/>
      <sz val="10"/>
      <color theme="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0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sz val="12"/>
      <color rgb="FF0070C0"/>
      <name val="Calibri"/>
      <family val="2"/>
    </font>
    <font>
      <sz val="12"/>
      <color rgb="FF00B050"/>
      <name val="Calibri"/>
      <family val="2"/>
    </font>
    <font>
      <sz val="12"/>
      <color rgb="FFBF9000"/>
      <name val="Calibri"/>
      <family val="2"/>
    </font>
    <font>
      <sz val="11"/>
      <color rgb="FFFF0000"/>
      <name val="Calibri"/>
      <family val="2"/>
      <charset val="204"/>
      <scheme val="minor"/>
    </font>
    <font>
      <b/>
      <sz val="16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4"/>
      <name val="Calibri"/>
      <family val="2"/>
      <charset val="204"/>
      <scheme val="minor"/>
    </font>
    <font>
      <sz val="11"/>
      <color theme="9"/>
      <name val="Calibri"/>
      <family val="2"/>
      <charset val="204"/>
      <scheme val="minor"/>
    </font>
    <font>
      <b/>
      <sz val="12"/>
      <color theme="5"/>
      <name val="Calibri"/>
      <family val="2"/>
      <scheme val="minor"/>
    </font>
    <font>
      <sz val="11"/>
      <color rgb="FFC9A6E4"/>
      <name val="Calibri"/>
      <family val="2"/>
      <charset val="204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b/>
      <sz val="14"/>
      <color rgb="FFFF00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trike/>
      <sz val="1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i/>
      <sz val="12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11">
    <xf numFmtId="0" fontId="0" fillId="0" borderId="0"/>
    <xf numFmtId="0" fontId="9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8" fillId="0" borderId="0"/>
    <xf numFmtId="0" fontId="8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339">
    <xf numFmtId="0" fontId="0" fillId="0" borderId="0" xfId="0"/>
    <xf numFmtId="0" fontId="0" fillId="3" borderId="0" xfId="0" applyFill="1"/>
    <xf numFmtId="0" fontId="0" fillId="3" borderId="0" xfId="0" applyFill="1" applyAlignment="1">
      <alignment horizontal="center" vertical="center"/>
    </xf>
    <xf numFmtId="0" fontId="24" fillId="3" borderId="1" xfId="0" applyFont="1" applyFill="1" applyBorder="1" applyAlignment="1">
      <alignment horizontal="center" vertical="center" wrapText="1" readingOrder="1"/>
    </xf>
    <xf numFmtId="0" fontId="27" fillId="7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23" fillId="7" borderId="1" xfId="0" applyFont="1" applyFill="1" applyBorder="1" applyAlignment="1">
      <alignment horizontal="right"/>
    </xf>
    <xf numFmtId="0" fontId="29" fillId="12" borderId="1" xfId="0" applyFont="1" applyFill="1" applyBorder="1" applyAlignment="1">
      <alignment horizontal="right"/>
    </xf>
    <xf numFmtId="0" fontId="30" fillId="7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left"/>
    </xf>
    <xf numFmtId="0" fontId="10" fillId="3" borderId="0" xfId="0" applyFont="1" applyFill="1"/>
    <xf numFmtId="0" fontId="11" fillId="3" borderId="0" xfId="0" applyFont="1" applyFill="1" applyAlignment="1">
      <alignment horizontal="center" vertical="center"/>
    </xf>
    <xf numFmtId="0" fontId="7" fillId="3" borderId="0" xfId="106" applyFill="1"/>
    <xf numFmtId="0" fontId="7" fillId="3" borderId="0" xfId="106" applyFill="1" applyAlignment="1">
      <alignment horizontal="center"/>
    </xf>
    <xf numFmtId="0" fontId="13" fillId="2" borderId="0" xfId="106" applyFont="1" applyFill="1" applyAlignment="1">
      <alignment horizontal="center" vertical="center"/>
    </xf>
    <xf numFmtId="0" fontId="22" fillId="15" borderId="0" xfId="106" applyFont="1" applyFill="1" applyAlignment="1">
      <alignment vertical="center" wrapText="1"/>
    </xf>
    <xf numFmtId="1" fontId="7" fillId="3" borderId="0" xfId="106" applyNumberFormat="1" applyFill="1"/>
    <xf numFmtId="0" fontId="7" fillId="3" borderId="0" xfId="106" applyFill="1" applyAlignment="1">
      <alignment vertical="center"/>
    </xf>
    <xf numFmtId="0" fontId="7" fillId="3" borderId="0" xfId="106" applyFill="1" applyAlignment="1">
      <alignment horizontal="center" vertical="center"/>
    </xf>
    <xf numFmtId="0" fontId="22" fillId="14" borderId="0" xfId="106" applyFont="1" applyFill="1" applyAlignment="1">
      <alignment vertical="center"/>
    </xf>
    <xf numFmtId="0" fontId="7" fillId="3" borderId="0" xfId="106" applyFill="1" applyAlignment="1">
      <alignment wrapText="1"/>
    </xf>
    <xf numFmtId="0" fontId="13" fillId="2" borderId="0" xfId="106" applyFont="1" applyFill="1" applyAlignment="1">
      <alignment vertical="center"/>
    </xf>
    <xf numFmtId="0" fontId="23" fillId="11" borderId="0" xfId="106" applyFont="1" applyFill="1" applyAlignment="1">
      <alignment vertical="center"/>
    </xf>
    <xf numFmtId="0" fontId="32" fillId="17" borderId="0" xfId="106" applyFont="1" applyFill="1" applyAlignment="1">
      <alignment horizontal="right" vertical="center" wrapText="1"/>
    </xf>
    <xf numFmtId="1" fontId="32" fillId="17" borderId="0" xfId="106" applyNumberFormat="1" applyFont="1" applyFill="1" applyAlignment="1">
      <alignment horizontal="center"/>
    </xf>
    <xf numFmtId="0" fontId="22" fillId="8" borderId="0" xfId="106" applyFont="1" applyFill="1" applyAlignment="1">
      <alignment vertical="center"/>
    </xf>
    <xf numFmtId="0" fontId="15" fillId="2" borderId="0" xfId="106" applyFont="1" applyFill="1" applyAlignment="1">
      <alignment horizontal="right"/>
    </xf>
    <xf numFmtId="1" fontId="15" fillId="2" borderId="0" xfId="106" applyNumberFormat="1" applyFont="1" applyFill="1" applyAlignment="1">
      <alignment horizontal="center"/>
    </xf>
    <xf numFmtId="9" fontId="13" fillId="2" borderId="0" xfId="106" applyNumberFormat="1" applyFont="1" applyFill="1" applyAlignment="1">
      <alignment horizontal="center" vertical="center"/>
    </xf>
    <xf numFmtId="1" fontId="22" fillId="16" borderId="0" xfId="106" applyNumberFormat="1" applyFont="1" applyFill="1" applyAlignment="1">
      <alignment horizontal="center" vertical="center"/>
    </xf>
    <xf numFmtId="0" fontId="22" fillId="4" borderId="0" xfId="106" applyFont="1" applyFill="1" applyAlignment="1">
      <alignment horizontal="center" vertical="center"/>
    </xf>
    <xf numFmtId="14" fontId="7" fillId="3" borderId="0" xfId="106" applyNumberFormat="1" applyFill="1" applyAlignment="1">
      <alignment horizontal="center"/>
    </xf>
    <xf numFmtId="0" fontId="22" fillId="7" borderId="0" xfId="106" applyFont="1" applyFill="1" applyAlignment="1">
      <alignment horizontal="center" vertical="center" wrapText="1"/>
    </xf>
    <xf numFmtId="14" fontId="22" fillId="7" borderId="0" xfId="106" applyNumberFormat="1" applyFont="1" applyFill="1" applyAlignment="1">
      <alignment horizontal="center" vertical="center" wrapText="1"/>
    </xf>
    <xf numFmtId="0" fontId="7" fillId="10" borderId="0" xfId="106" applyFill="1" applyAlignment="1">
      <alignment horizontal="center"/>
    </xf>
    <xf numFmtId="14" fontId="7" fillId="10" borderId="0" xfId="106" applyNumberFormat="1" applyFill="1" applyAlignment="1">
      <alignment horizontal="center"/>
    </xf>
    <xf numFmtId="9" fontId="7" fillId="10" borderId="0" xfId="106" applyNumberFormat="1" applyFill="1" applyAlignment="1">
      <alignment horizontal="center"/>
    </xf>
    <xf numFmtId="0" fontId="20" fillId="7" borderId="1" xfId="0" applyFont="1" applyFill="1" applyBorder="1" applyAlignment="1">
      <alignment horizontal="right"/>
    </xf>
    <xf numFmtId="0" fontId="0" fillId="10" borderId="0" xfId="0" applyFill="1"/>
    <xf numFmtId="0" fontId="0" fillId="10" borderId="0" xfId="0" applyFill="1" applyAlignment="1">
      <alignment horizontal="center"/>
    </xf>
    <xf numFmtId="0" fontId="12" fillId="5" borderId="4" xfId="0" applyFont="1" applyFill="1" applyBorder="1" applyAlignment="1">
      <alignment horizontal="right" vertical="center"/>
    </xf>
    <xf numFmtId="0" fontId="12" fillId="5" borderId="4" xfId="0" applyFont="1" applyFill="1" applyBorder="1" applyAlignment="1">
      <alignment vertical="center"/>
    </xf>
    <xf numFmtId="0" fontId="12" fillId="5" borderId="3" xfId="0" applyFont="1" applyFill="1" applyBorder="1" applyAlignment="1">
      <alignment vertical="center"/>
    </xf>
    <xf numFmtId="1" fontId="12" fillId="5" borderId="8" xfId="0" applyNumberFormat="1" applyFont="1" applyFill="1" applyBorder="1" applyAlignment="1">
      <alignment horizontal="center" vertical="center"/>
    </xf>
    <xf numFmtId="1" fontId="7" fillId="10" borderId="0" xfId="106" applyNumberFormat="1" applyFill="1" applyAlignment="1">
      <alignment horizontal="center"/>
    </xf>
    <xf numFmtId="0" fontId="36" fillId="7" borderId="0" xfId="106" applyFont="1" applyFill="1" applyAlignment="1">
      <alignment horizontal="center" vertical="center" wrapText="1"/>
    </xf>
    <xf numFmtId="14" fontId="36" fillId="7" borderId="0" xfId="106" applyNumberFormat="1" applyFont="1" applyFill="1" applyAlignment="1">
      <alignment horizontal="center" vertical="center" wrapText="1"/>
    </xf>
    <xf numFmtId="0" fontId="37" fillId="3" borderId="0" xfId="0" applyFont="1" applyFill="1"/>
    <xf numFmtId="0" fontId="38" fillId="7" borderId="0" xfId="106" applyFont="1" applyFill="1" applyAlignment="1">
      <alignment horizontal="center" vertical="center" wrapText="1"/>
    </xf>
    <xf numFmtId="0" fontId="38" fillId="3" borderId="0" xfId="106" applyFont="1" applyFill="1" applyAlignment="1">
      <alignment horizontal="center" vertical="center" wrapText="1"/>
    </xf>
    <xf numFmtId="0" fontId="30" fillId="7" borderId="9" xfId="0" applyFont="1" applyFill="1" applyBorder="1" applyAlignment="1">
      <alignment horizontal="center" vertical="center" wrapText="1"/>
    </xf>
    <xf numFmtId="14" fontId="30" fillId="7" borderId="4" xfId="0" applyNumberFormat="1" applyFont="1" applyFill="1" applyBorder="1" applyAlignment="1">
      <alignment horizontal="right" vertical="center" wrapText="1"/>
    </xf>
    <xf numFmtId="14" fontId="30" fillId="7" borderId="3" xfId="0" applyNumberFormat="1" applyFont="1" applyFill="1" applyBorder="1" applyAlignment="1">
      <alignment horizontal="left" vertical="center" wrapText="1"/>
    </xf>
    <xf numFmtId="165" fontId="30" fillId="7" borderId="4" xfId="0" applyNumberFormat="1" applyFont="1" applyFill="1" applyBorder="1" applyAlignment="1">
      <alignment horizontal="center" vertical="center" wrapText="1"/>
    </xf>
    <xf numFmtId="165" fontId="30" fillId="7" borderId="3" xfId="0" applyNumberFormat="1" applyFont="1" applyFill="1" applyBorder="1" applyAlignment="1">
      <alignment horizontal="center" vertical="center" wrapText="1"/>
    </xf>
    <xf numFmtId="0" fontId="33" fillId="5" borderId="1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left" vertical="center"/>
    </xf>
    <xf numFmtId="0" fontId="15" fillId="3" borderId="0" xfId="0" applyFont="1" applyFill="1" applyAlignment="1">
      <alignment horizontal="left" vertical="center"/>
    </xf>
    <xf numFmtId="14" fontId="13" fillId="3" borderId="0" xfId="0" applyNumberFormat="1" applyFont="1" applyFill="1" applyAlignment="1">
      <alignment horizontal="left" vertical="center"/>
    </xf>
    <xf numFmtId="0" fontId="11" fillId="10" borderId="0" xfId="0" applyFont="1" applyFill="1" applyAlignment="1">
      <alignment vertical="center"/>
    </xf>
    <xf numFmtId="0" fontId="23" fillId="18" borderId="0" xfId="0" applyFont="1" applyFill="1" applyAlignment="1">
      <alignment horizontal="left" vertical="center"/>
    </xf>
    <xf numFmtId="0" fontId="35" fillId="3" borderId="1" xfId="0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0" fontId="40" fillId="12" borderId="1" xfId="0" applyFont="1" applyFill="1" applyBorder="1" applyAlignment="1">
      <alignment horizontal="right"/>
    </xf>
    <xf numFmtId="0" fontId="0" fillId="3" borderId="0" xfId="0" applyFill="1" applyAlignment="1">
      <alignment horizontal="right"/>
    </xf>
    <xf numFmtId="16" fontId="13" fillId="3" borderId="0" xfId="0" applyNumberFormat="1" applyFont="1" applyFill="1" applyAlignment="1">
      <alignment horizontal="left" vertical="center"/>
    </xf>
    <xf numFmtId="0" fontId="41" fillId="3" borderId="0" xfId="0" applyFont="1" applyFill="1"/>
    <xf numFmtId="0" fontId="43" fillId="21" borderId="11" xfId="0" applyFont="1" applyFill="1" applyBorder="1" applyAlignment="1">
      <alignment horizontal="left" vertical="center" wrapText="1" readingOrder="1"/>
    </xf>
    <xf numFmtId="0" fontId="44" fillId="21" borderId="12" xfId="0" applyFont="1" applyFill="1" applyBorder="1" applyAlignment="1">
      <alignment horizontal="left" vertical="center" wrapText="1" readingOrder="1"/>
    </xf>
    <xf numFmtId="0" fontId="45" fillId="21" borderId="13" xfId="0" applyFont="1" applyFill="1" applyBorder="1" applyAlignment="1">
      <alignment horizontal="left" vertical="center" wrapText="1" readingOrder="1"/>
    </xf>
    <xf numFmtId="1" fontId="22" fillId="3" borderId="0" xfId="0" applyNumberFormat="1" applyFont="1" applyFill="1" applyAlignment="1">
      <alignment horizontal="right" vertical="center"/>
    </xf>
    <xf numFmtId="0" fontId="25" fillId="3" borderId="1" xfId="0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vertical="center" wrapText="1"/>
    </xf>
    <xf numFmtId="0" fontId="30" fillId="7" borderId="8" xfId="0" applyFont="1" applyFill="1" applyBorder="1" applyAlignment="1">
      <alignment horizontal="center" vertical="center" wrapText="1"/>
    </xf>
    <xf numFmtId="165" fontId="30" fillId="7" borderId="4" xfId="0" applyNumberFormat="1" applyFont="1" applyFill="1" applyBorder="1" applyAlignment="1">
      <alignment horizontal="right" vertical="center" wrapText="1"/>
    </xf>
    <xf numFmtId="165" fontId="30" fillId="7" borderId="3" xfId="0" applyNumberFormat="1" applyFont="1" applyFill="1" applyBorder="1" applyAlignment="1">
      <alignment horizontal="left" vertical="center" wrapText="1"/>
    </xf>
    <xf numFmtId="0" fontId="0" fillId="3" borderId="0" xfId="0" applyFill="1" applyAlignment="1">
      <alignment horizontal="left" wrapText="1"/>
    </xf>
    <xf numFmtId="0" fontId="25" fillId="3" borderId="1" xfId="0" applyFont="1" applyFill="1" applyBorder="1" applyAlignment="1">
      <alignment horizontal="left" vertical="center" wrapText="1"/>
    </xf>
    <xf numFmtId="0" fontId="46" fillId="3" borderId="0" xfId="0" applyFont="1" applyFill="1"/>
    <xf numFmtId="0" fontId="46" fillId="3" borderId="0" xfId="0" applyFont="1" applyFill="1" applyAlignment="1">
      <alignment horizontal="left"/>
    </xf>
    <xf numFmtId="0" fontId="46" fillId="3" borderId="0" xfId="0" applyFont="1" applyFill="1" applyAlignment="1">
      <alignment horizontal="left" vertical="center"/>
    </xf>
    <xf numFmtId="0" fontId="47" fillId="3" borderId="0" xfId="0" applyFont="1" applyFill="1"/>
    <xf numFmtId="0" fontId="14" fillId="0" borderId="0" xfId="0" applyFont="1"/>
    <xf numFmtId="0" fontId="14" fillId="0" borderId="14" xfId="0" applyFont="1" applyBorder="1"/>
    <xf numFmtId="0" fontId="14" fillId="3" borderId="17" xfId="0" applyFont="1" applyFill="1" applyBorder="1" applyAlignment="1">
      <alignment horizontal="right"/>
    </xf>
    <xf numFmtId="0" fontId="14" fillId="3" borderId="19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4" fillId="0" borderId="15" xfId="0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14" fillId="3" borderId="20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14" fillId="0" borderId="29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7" xfId="0" applyBorder="1" applyAlignment="1">
      <alignment horizontal="center"/>
    </xf>
    <xf numFmtId="0" fontId="14" fillId="0" borderId="28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30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0" xfId="0" applyBorder="1" applyAlignment="1">
      <alignment horizontal="center"/>
    </xf>
    <xf numFmtId="0" fontId="49" fillId="3" borderId="0" xfId="0" applyFont="1" applyFill="1"/>
    <xf numFmtId="0" fontId="50" fillId="3" borderId="0" xfId="0" applyFont="1" applyFill="1"/>
    <xf numFmtId="0" fontId="32" fillId="22" borderId="0" xfId="106" applyFont="1" applyFill="1" applyAlignment="1">
      <alignment horizontal="right" vertical="center" wrapText="1"/>
    </xf>
    <xf numFmtId="1" fontId="32" fillId="22" borderId="0" xfId="106" applyNumberFormat="1" applyFont="1" applyFill="1" applyAlignment="1">
      <alignment horizontal="center"/>
    </xf>
    <xf numFmtId="0" fontId="0" fillId="24" borderId="31" xfId="0" applyFill="1" applyBorder="1"/>
    <xf numFmtId="0" fontId="52" fillId="3" borderId="0" xfId="0" applyFont="1" applyFill="1"/>
    <xf numFmtId="0" fontId="0" fillId="0" borderId="17" xfId="0" applyBorder="1"/>
    <xf numFmtId="1" fontId="13" fillId="17" borderId="0" xfId="0" applyNumberFormat="1" applyFont="1" applyFill="1" applyAlignment="1">
      <alignment vertical="center"/>
    </xf>
    <xf numFmtId="1" fontId="13" fillId="3" borderId="0" xfId="0" applyNumberFormat="1" applyFont="1" applyFill="1" applyAlignment="1">
      <alignment vertical="center"/>
    </xf>
    <xf numFmtId="1" fontId="13" fillId="19" borderId="0" xfId="0" applyNumberFormat="1" applyFont="1" applyFill="1" applyAlignment="1">
      <alignment vertical="center"/>
    </xf>
    <xf numFmtId="1" fontId="22" fillId="4" borderId="0" xfId="0" applyNumberFormat="1" applyFont="1" applyFill="1" applyAlignment="1">
      <alignment vertical="center"/>
    </xf>
    <xf numFmtId="1" fontId="22" fillId="20" borderId="0" xfId="0" applyNumberFormat="1" applyFont="1" applyFill="1" applyAlignment="1">
      <alignment vertical="center"/>
    </xf>
    <xf numFmtId="1" fontId="22" fillId="3" borderId="0" xfId="0" applyNumberFormat="1" applyFont="1" applyFill="1" applyAlignment="1">
      <alignment vertical="center"/>
    </xf>
    <xf numFmtId="0" fontId="0" fillId="25" borderId="0" xfId="0" applyFill="1"/>
    <xf numFmtId="0" fontId="25" fillId="3" borderId="0" xfId="0" applyFont="1" applyFill="1" applyAlignment="1">
      <alignment horizontal="center" vertical="center"/>
    </xf>
    <xf numFmtId="14" fontId="25" fillId="3" borderId="0" xfId="0" applyNumberFormat="1" applyFont="1" applyFill="1"/>
    <xf numFmtId="0" fontId="53" fillId="3" borderId="0" xfId="0" applyFont="1" applyFill="1" applyAlignment="1">
      <alignment vertical="center"/>
    </xf>
    <xf numFmtId="14" fontId="25" fillId="3" borderId="1" xfId="0" applyNumberFormat="1" applyFont="1" applyFill="1" applyBorder="1" applyAlignment="1">
      <alignment horizontal="center"/>
    </xf>
    <xf numFmtId="0" fontId="25" fillId="3" borderId="0" xfId="0" applyFont="1" applyFill="1" applyAlignment="1">
      <alignment vertical="center" wrapText="1"/>
    </xf>
    <xf numFmtId="0" fontId="25" fillId="3" borderId="0" xfId="0" applyFont="1" applyFill="1" applyAlignment="1">
      <alignment horizontal="left" vertical="center" wrapText="1"/>
    </xf>
    <xf numFmtId="1" fontId="13" fillId="19" borderId="0" xfId="0" applyNumberFormat="1" applyFont="1" applyFill="1" applyAlignment="1">
      <alignment horizontal="right" vertical="center"/>
    </xf>
    <xf numFmtId="0" fontId="5" fillId="3" borderId="0" xfId="106" applyFont="1" applyFill="1"/>
    <xf numFmtId="0" fontId="5" fillId="3" borderId="0" xfId="106" applyFont="1" applyFill="1" applyAlignment="1">
      <alignment vertical="center"/>
    </xf>
    <xf numFmtId="0" fontId="5" fillId="3" borderId="0" xfId="106" applyFont="1" applyFill="1" applyAlignment="1">
      <alignment wrapText="1"/>
    </xf>
    <xf numFmtId="9" fontId="5" fillId="22" borderId="0" xfId="106" applyNumberFormat="1" applyFont="1" applyFill="1" applyAlignment="1">
      <alignment horizontal="center" vertical="center"/>
    </xf>
    <xf numFmtId="9" fontId="5" fillId="17" borderId="0" xfId="106" applyNumberFormat="1" applyFont="1" applyFill="1" applyAlignment="1">
      <alignment horizontal="center" vertical="center"/>
    </xf>
    <xf numFmtId="0" fontId="5" fillId="10" borderId="0" xfId="106" applyFont="1" applyFill="1" applyAlignment="1">
      <alignment horizontal="center"/>
    </xf>
    <xf numFmtId="0" fontId="0" fillId="3" borderId="0" xfId="0" applyFill="1" applyAlignment="1" applyProtection="1">
      <alignment wrapText="1"/>
      <protection locked="0"/>
    </xf>
    <xf numFmtId="0" fontId="56" fillId="7" borderId="15" xfId="0" applyFont="1" applyFill="1" applyBorder="1" applyAlignment="1">
      <alignment horizontal="right"/>
    </xf>
    <xf numFmtId="1" fontId="56" fillId="7" borderId="16" xfId="0" applyNumberFormat="1" applyFont="1" applyFill="1" applyBorder="1" applyAlignment="1">
      <alignment horizontal="center" vertical="center"/>
    </xf>
    <xf numFmtId="0" fontId="56" fillId="7" borderId="16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10" fillId="23" borderId="1" xfId="0" applyFont="1" applyFill="1" applyBorder="1" applyAlignment="1">
      <alignment horizontal="center" vertical="center"/>
    </xf>
    <xf numFmtId="0" fontId="56" fillId="7" borderId="1" xfId="0" applyFont="1" applyFill="1" applyBorder="1" applyAlignment="1">
      <alignment horizontal="right"/>
    </xf>
    <xf numFmtId="1" fontId="56" fillId="7" borderId="18" xfId="0" applyNumberFormat="1" applyFont="1" applyFill="1" applyBorder="1" applyAlignment="1">
      <alignment horizontal="center" vertical="center"/>
    </xf>
    <xf numFmtId="0" fontId="57" fillId="14" borderId="23" xfId="0" applyFont="1" applyFill="1" applyBorder="1" applyAlignment="1">
      <alignment vertical="center"/>
    </xf>
    <xf numFmtId="0" fontId="0" fillId="3" borderId="0" xfId="0" applyFill="1" applyAlignment="1">
      <alignment vertical="top"/>
    </xf>
    <xf numFmtId="0" fontId="0" fillId="23" borderId="1" xfId="0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57" fillId="15" borderId="22" xfId="0" applyFont="1" applyFill="1" applyBorder="1" applyAlignment="1">
      <alignment vertical="center" wrapText="1"/>
    </xf>
    <xf numFmtId="0" fontId="57" fillId="0" borderId="17" xfId="0" applyFont="1" applyBorder="1" applyAlignment="1">
      <alignment vertical="center" wrapText="1"/>
    </xf>
    <xf numFmtId="0" fontId="0" fillId="2" borderId="23" xfId="0" applyFill="1" applyBorder="1" applyAlignment="1">
      <alignment vertical="center"/>
    </xf>
    <xf numFmtId="0" fontId="57" fillId="11" borderId="23" xfId="0" applyFont="1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0" fontId="57" fillId="8" borderId="24" xfId="0" applyFont="1" applyFill="1" applyBorder="1" applyAlignment="1">
      <alignment vertical="center"/>
    </xf>
    <xf numFmtId="0" fontId="57" fillId="8" borderId="19" xfId="0" applyFont="1" applyFill="1" applyBorder="1" applyAlignment="1">
      <alignment vertical="center"/>
    </xf>
    <xf numFmtId="0" fontId="0" fillId="3" borderId="0" xfId="0" applyFill="1" applyAlignment="1">
      <alignment horizontal="center"/>
    </xf>
    <xf numFmtId="0" fontId="0" fillId="0" borderId="17" xfId="0" applyBorder="1" applyAlignment="1">
      <alignment vertical="center"/>
    </xf>
    <xf numFmtId="0" fontId="58" fillId="0" borderId="17" xfId="0" applyFont="1" applyBorder="1" applyAlignment="1">
      <alignment vertical="center"/>
    </xf>
    <xf numFmtId="0" fontId="57" fillId="0" borderId="17" xfId="0" applyFont="1" applyBorder="1" applyAlignment="1">
      <alignment vertical="center"/>
    </xf>
    <xf numFmtId="0" fontId="58" fillId="0" borderId="17" xfId="0" applyFont="1" applyBorder="1" applyAlignment="1">
      <alignment vertical="center" wrapText="1"/>
    </xf>
    <xf numFmtId="0" fontId="59" fillId="3" borderId="17" xfId="0" applyFont="1" applyFill="1" applyBorder="1" applyAlignment="1">
      <alignment vertical="center"/>
    </xf>
    <xf numFmtId="0" fontId="58" fillId="3" borderId="17" xfId="0" applyFont="1" applyFill="1" applyBorder="1"/>
    <xf numFmtId="0" fontId="42" fillId="3" borderId="0" xfId="0" applyFont="1" applyFill="1"/>
    <xf numFmtId="0" fontId="53" fillId="21" borderId="32" xfId="0" applyFont="1" applyFill="1" applyBorder="1" applyAlignment="1">
      <alignment horizontal="center"/>
    </xf>
    <xf numFmtId="0" fontId="25" fillId="3" borderId="0" xfId="0" applyFont="1" applyFill="1"/>
    <xf numFmtId="0" fontId="27" fillId="7" borderId="1" xfId="0" applyFont="1" applyFill="1" applyBorder="1" applyAlignment="1">
      <alignment horizontal="center"/>
    </xf>
    <xf numFmtId="0" fontId="60" fillId="3" borderId="0" xfId="0" applyFont="1" applyFill="1"/>
    <xf numFmtId="0" fontId="25" fillId="3" borderId="0" xfId="0" applyFont="1" applyFill="1" applyAlignment="1">
      <alignment vertical="center"/>
    </xf>
    <xf numFmtId="0" fontId="25" fillId="3" borderId="0" xfId="0" applyFont="1" applyFill="1" applyAlignment="1">
      <alignment horizontal="left" vertical="center"/>
    </xf>
    <xf numFmtId="0" fontId="60" fillId="6" borderId="1" xfId="0" applyFont="1" applyFill="1" applyBorder="1" applyAlignment="1">
      <alignment horizontal="center" vertical="center"/>
    </xf>
    <xf numFmtId="0" fontId="60" fillId="6" borderId="1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 vertical="top"/>
    </xf>
    <xf numFmtId="0" fontId="61" fillId="3" borderId="1" xfId="0" applyFont="1" applyFill="1" applyBorder="1" applyAlignment="1">
      <alignment horizontal="center" vertical="center"/>
    </xf>
    <xf numFmtId="164" fontId="25" fillId="3" borderId="1" xfId="0" applyNumberFormat="1" applyFont="1" applyFill="1" applyBorder="1" applyAlignment="1">
      <alignment vertical="top"/>
    </xf>
    <xf numFmtId="0" fontId="25" fillId="3" borderId="1" xfId="0" applyFont="1" applyFill="1" applyBorder="1" applyAlignment="1">
      <alignment vertical="top"/>
    </xf>
    <xf numFmtId="0" fontId="25" fillId="3" borderId="0" xfId="0" applyFont="1" applyFill="1" applyAlignment="1">
      <alignment vertical="top"/>
    </xf>
    <xf numFmtId="164" fontId="25" fillId="3" borderId="1" xfId="0" applyNumberFormat="1" applyFont="1" applyFill="1" applyBorder="1"/>
    <xf numFmtId="0" fontId="25" fillId="3" borderId="1" xfId="0" applyFont="1" applyFill="1" applyBorder="1"/>
    <xf numFmtId="0" fontId="25" fillId="3" borderId="1" xfId="0" applyFont="1" applyFill="1" applyBorder="1" applyAlignment="1">
      <alignment horizontal="left"/>
    </xf>
    <xf numFmtId="0" fontId="25" fillId="3" borderId="1" xfId="0" applyFont="1" applyFill="1" applyBorder="1" applyAlignment="1">
      <alignment horizontal="center"/>
    </xf>
    <xf numFmtId="0" fontId="25" fillId="3" borderId="0" xfId="0" applyFont="1" applyFill="1" applyAlignment="1">
      <alignment horizontal="center"/>
    </xf>
    <xf numFmtId="0" fontId="25" fillId="3" borderId="0" xfId="0" applyFont="1" applyFill="1" applyAlignment="1">
      <alignment horizontal="left"/>
    </xf>
    <xf numFmtId="0" fontId="56" fillId="7" borderId="15" xfId="0" applyFont="1" applyFill="1" applyBorder="1" applyAlignment="1">
      <alignment horizontal="center" vertical="center"/>
    </xf>
    <xf numFmtId="0" fontId="56" fillId="7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 wrapText="1"/>
    </xf>
    <xf numFmtId="0" fontId="0" fillId="23" borderId="1" xfId="0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/>
    </xf>
    <xf numFmtId="0" fontId="0" fillId="23" borderId="2" xfId="0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23" borderId="20" xfId="0" applyFill="1" applyBorder="1" applyAlignment="1">
      <alignment horizontal="center" vertical="center"/>
    </xf>
    <xf numFmtId="0" fontId="0" fillId="3" borderId="35" xfId="0" applyFill="1" applyBorder="1" applyAlignment="1">
      <alignment horizontal="center" vertical="center"/>
    </xf>
    <xf numFmtId="0" fontId="58" fillId="13" borderId="1" xfId="0" applyFont="1" applyFill="1" applyBorder="1" applyAlignment="1">
      <alignment horizontal="center" vertical="center"/>
    </xf>
    <xf numFmtId="0" fontId="58" fillId="23" borderId="1" xfId="0" applyFont="1" applyFill="1" applyBorder="1" applyAlignment="1">
      <alignment horizontal="center" vertical="center"/>
    </xf>
    <xf numFmtId="0" fontId="0" fillId="13" borderId="20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10" fillId="13" borderId="2" xfId="0" applyFont="1" applyFill="1" applyBorder="1" applyAlignment="1">
      <alignment horizontal="center" vertical="center"/>
    </xf>
    <xf numFmtId="0" fontId="10" fillId="23" borderId="2" xfId="0" applyFont="1" applyFill="1" applyBorder="1" applyAlignment="1">
      <alignment horizontal="center" vertical="center" wrapText="1"/>
    </xf>
    <xf numFmtId="0" fontId="56" fillId="7" borderId="3" xfId="0" applyFont="1" applyFill="1" applyBorder="1" applyAlignment="1">
      <alignment horizontal="center" vertical="center"/>
    </xf>
    <xf numFmtId="166" fontId="30" fillId="7" borderId="4" xfId="0" applyNumberFormat="1" applyFont="1" applyFill="1" applyBorder="1" applyAlignment="1">
      <alignment horizontal="left" vertical="center" wrapText="1"/>
    </xf>
    <xf numFmtId="166" fontId="56" fillId="7" borderId="17" xfId="0" applyNumberFormat="1" applyFont="1" applyFill="1" applyBorder="1" applyAlignment="1">
      <alignment vertical="center"/>
    </xf>
    <xf numFmtId="166" fontId="56" fillId="7" borderId="3" xfId="0" applyNumberFormat="1" applyFont="1" applyFill="1" applyBorder="1" applyAlignment="1">
      <alignment horizontal="left" vertical="center"/>
    </xf>
    <xf numFmtId="166" fontId="56" fillId="7" borderId="17" xfId="0" applyNumberFormat="1" applyFont="1" applyFill="1" applyBorder="1" applyAlignment="1">
      <alignment vertical="center" wrapText="1"/>
    </xf>
    <xf numFmtId="166" fontId="56" fillId="7" borderId="3" xfId="0" applyNumberFormat="1" applyFont="1" applyFill="1" applyBorder="1" applyAlignment="1">
      <alignment horizontal="left" vertical="center" wrapText="1"/>
    </xf>
    <xf numFmtId="166" fontId="30" fillId="7" borderId="1" xfId="0" applyNumberFormat="1" applyFont="1" applyFill="1" applyBorder="1" applyAlignment="1">
      <alignment horizontal="right" vertical="center" wrapText="1"/>
    </xf>
    <xf numFmtId="0" fontId="0" fillId="3" borderId="46" xfId="0" applyFill="1" applyBorder="1"/>
    <xf numFmtId="0" fontId="56" fillId="7" borderId="8" xfId="0" applyFont="1" applyFill="1" applyBorder="1" applyAlignment="1">
      <alignment horizontal="center" vertical="center"/>
    </xf>
    <xf numFmtId="166" fontId="56" fillId="7" borderId="1" xfId="0" applyNumberFormat="1" applyFont="1" applyFill="1" applyBorder="1" applyAlignment="1">
      <alignment horizontal="left" vertical="center"/>
    </xf>
    <xf numFmtId="0" fontId="4" fillId="10" borderId="0" xfId="106" applyFont="1" applyFill="1" applyAlignment="1">
      <alignment horizontal="center"/>
    </xf>
    <xf numFmtId="165" fontId="30" fillId="7" borderId="8" xfId="0" applyNumberFormat="1" applyFont="1" applyFill="1" applyBorder="1" applyAlignment="1">
      <alignment horizontal="left" vertical="center" wrapText="1"/>
    </xf>
    <xf numFmtId="165" fontId="30" fillId="7" borderId="8" xfId="0" applyNumberFormat="1" applyFont="1" applyFill="1" applyBorder="1" applyAlignment="1">
      <alignment horizontal="right" vertical="center" wrapText="1"/>
    </xf>
    <xf numFmtId="0" fontId="0" fillId="3" borderId="1" xfId="0" applyFill="1" applyBorder="1"/>
    <xf numFmtId="1" fontId="22" fillId="26" borderId="0" xfId="0" applyNumberFormat="1" applyFont="1" applyFill="1" applyAlignment="1">
      <alignment vertical="center"/>
    </xf>
    <xf numFmtId="0" fontId="3" fillId="3" borderId="0" xfId="106" applyFont="1" applyFill="1"/>
    <xf numFmtId="0" fontId="0" fillId="3" borderId="37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2" fillId="25" borderId="0" xfId="0" applyFont="1" applyFill="1" applyAlignment="1">
      <alignment vertical="center"/>
    </xf>
    <xf numFmtId="0" fontId="39" fillId="7" borderId="5" xfId="0" applyFont="1" applyFill="1" applyBorder="1" applyAlignment="1">
      <alignment horizontal="center"/>
    </xf>
    <xf numFmtId="0" fontId="39" fillId="7" borderId="0" xfId="0" applyFont="1" applyFill="1" applyAlignment="1">
      <alignment horizontal="center"/>
    </xf>
    <xf numFmtId="0" fontId="34" fillId="7" borderId="0" xfId="0" applyFont="1" applyFill="1" applyAlignment="1">
      <alignment horizontal="center" vertical="center"/>
    </xf>
    <xf numFmtId="0" fontId="31" fillId="16" borderId="0" xfId="0" applyFont="1" applyFill="1" applyAlignment="1">
      <alignment horizontal="center"/>
    </xf>
    <xf numFmtId="1" fontId="40" fillId="12" borderId="1" xfId="0" applyNumberFormat="1" applyFont="1" applyFill="1" applyBorder="1" applyAlignment="1">
      <alignment horizontal="center" vertical="center"/>
    </xf>
    <xf numFmtId="1" fontId="40" fillId="12" borderId="2" xfId="0" applyNumberFormat="1" applyFont="1" applyFill="1" applyBorder="1" applyAlignment="1">
      <alignment horizontal="center" vertical="center"/>
    </xf>
    <xf numFmtId="1" fontId="13" fillId="19" borderId="0" xfId="0" applyNumberFormat="1" applyFont="1" applyFill="1" applyAlignment="1">
      <alignment horizontal="right" vertical="center"/>
    </xf>
    <xf numFmtId="1" fontId="29" fillId="12" borderId="4" xfId="0" applyNumberFormat="1" applyFont="1" applyFill="1" applyBorder="1" applyAlignment="1">
      <alignment horizontal="center" vertical="center"/>
    </xf>
    <xf numFmtId="1" fontId="29" fillId="12" borderId="8" xfId="0" applyNumberFormat="1" applyFont="1" applyFill="1" applyBorder="1" applyAlignment="1">
      <alignment horizontal="center" vertical="center"/>
    </xf>
    <xf numFmtId="1" fontId="29" fillId="12" borderId="3" xfId="0" applyNumberFormat="1" applyFont="1" applyFill="1" applyBorder="1" applyAlignment="1">
      <alignment horizontal="center" vertical="center"/>
    </xf>
    <xf numFmtId="1" fontId="29" fillId="12" borderId="1" xfId="0" applyNumberFormat="1" applyFont="1" applyFill="1" applyBorder="1" applyAlignment="1">
      <alignment horizontal="center" vertical="center"/>
    </xf>
    <xf numFmtId="1" fontId="40" fillId="12" borderId="4" xfId="0" applyNumberFormat="1" applyFont="1" applyFill="1" applyBorder="1" applyAlignment="1">
      <alignment horizontal="center" vertical="center"/>
    </xf>
    <xf numFmtId="1" fontId="40" fillId="12" borderId="8" xfId="0" applyNumberFormat="1" applyFont="1" applyFill="1" applyBorder="1" applyAlignment="1">
      <alignment horizontal="center" vertical="center"/>
    </xf>
    <xf numFmtId="1" fontId="40" fillId="12" borderId="3" xfId="0" applyNumberFormat="1" applyFont="1" applyFill="1" applyBorder="1" applyAlignment="1">
      <alignment horizontal="center" vertical="center"/>
    </xf>
    <xf numFmtId="0" fontId="22" fillId="7" borderId="4" xfId="0" applyFont="1" applyFill="1" applyBorder="1" applyAlignment="1">
      <alignment horizontal="center" vertical="center" wrapText="1"/>
    </xf>
    <xf numFmtId="0" fontId="22" fillId="7" borderId="8" xfId="0" applyFont="1" applyFill="1" applyBorder="1" applyAlignment="1">
      <alignment horizontal="center" vertical="center" wrapText="1"/>
    </xf>
    <xf numFmtId="0" fontId="22" fillId="7" borderId="3" xfId="0" applyFont="1" applyFill="1" applyBorder="1" applyAlignment="1">
      <alignment horizontal="center" vertical="center" wrapText="1"/>
    </xf>
    <xf numFmtId="0" fontId="28" fillId="7" borderId="1" xfId="0" applyFont="1" applyFill="1" applyBorder="1" applyAlignment="1">
      <alignment horizontal="center" vertical="center" wrapText="1" readingOrder="1"/>
    </xf>
    <xf numFmtId="0" fontId="28" fillId="7" borderId="4" xfId="0" applyFont="1" applyFill="1" applyBorder="1" applyAlignment="1">
      <alignment horizontal="center" vertical="center" wrapText="1" readingOrder="1"/>
    </xf>
    <xf numFmtId="0" fontId="22" fillId="7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26" fillId="7" borderId="1" xfId="0" applyFont="1" applyFill="1" applyBorder="1" applyAlignment="1">
      <alignment horizontal="center" vertical="center" wrapText="1" readingOrder="1"/>
    </xf>
    <xf numFmtId="0" fontId="0" fillId="7" borderId="2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11" fillId="3" borderId="4" xfId="0" applyFont="1" applyFill="1" applyBorder="1" applyAlignment="1">
      <alignment horizontal="left" vertical="center" wrapText="1"/>
    </xf>
    <xf numFmtId="0" fontId="11" fillId="3" borderId="8" xfId="0" applyFont="1" applyFill="1" applyBorder="1" applyAlignment="1">
      <alignment horizontal="left" vertical="center" wrapText="1"/>
    </xf>
    <xf numFmtId="0" fontId="11" fillId="3" borderId="3" xfId="0" applyFont="1" applyFill="1" applyBorder="1" applyAlignment="1">
      <alignment horizontal="left" vertical="center" wrapText="1"/>
    </xf>
    <xf numFmtId="0" fontId="11" fillId="3" borderId="4" xfId="0" applyFont="1" applyFill="1" applyBorder="1" applyAlignment="1" applyProtection="1">
      <alignment horizontal="left" vertical="center" wrapText="1"/>
      <protection locked="0"/>
    </xf>
    <xf numFmtId="0" fontId="11" fillId="3" borderId="8" xfId="0" applyFont="1" applyFill="1" applyBorder="1" applyAlignment="1" applyProtection="1">
      <alignment horizontal="left" vertical="center" wrapText="1"/>
      <protection locked="0"/>
    </xf>
    <xf numFmtId="0" fontId="11" fillId="3" borderId="3" xfId="0" applyFont="1" applyFill="1" applyBorder="1" applyAlignment="1" applyProtection="1">
      <alignment horizontal="left" vertical="center" wrapText="1"/>
      <protection locked="0"/>
    </xf>
    <xf numFmtId="0" fontId="12" fillId="13" borderId="6" xfId="0" applyFont="1" applyFill="1" applyBorder="1" applyAlignment="1">
      <alignment horizontal="center" vertical="center" wrapText="1"/>
    </xf>
    <xf numFmtId="0" fontId="12" fillId="13" borderId="10" xfId="0" applyFont="1" applyFill="1" applyBorder="1" applyAlignment="1">
      <alignment horizontal="center" vertical="center" wrapText="1"/>
    </xf>
    <xf numFmtId="0" fontId="12" fillId="13" borderId="7" xfId="0" applyFont="1" applyFill="1" applyBorder="1" applyAlignment="1">
      <alignment horizontal="center" vertical="center" wrapText="1"/>
    </xf>
    <xf numFmtId="0" fontId="55" fillId="13" borderId="6" xfId="0" applyFont="1" applyFill="1" applyBorder="1" applyAlignment="1">
      <alignment horizontal="center" vertical="center" wrapText="1"/>
    </xf>
    <xf numFmtId="0" fontId="55" fillId="13" borderId="4" xfId="0" applyFont="1" applyFill="1" applyBorder="1" applyAlignment="1">
      <alignment horizontal="center" vertical="center" wrapText="1"/>
    </xf>
    <xf numFmtId="0" fontId="12" fillId="13" borderId="8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55" fillId="13" borderId="8" xfId="0" applyFont="1" applyFill="1" applyBorder="1" applyAlignment="1">
      <alignment horizontal="center" vertical="center" wrapText="1"/>
    </xf>
    <xf numFmtId="0" fontId="55" fillId="13" borderId="3" xfId="0" applyFont="1" applyFill="1" applyBorder="1" applyAlignment="1">
      <alignment horizontal="center" vertical="center" wrapText="1"/>
    </xf>
    <xf numFmtId="165" fontId="30" fillId="7" borderId="4" xfId="0" applyNumberFormat="1" applyFont="1" applyFill="1" applyBorder="1" applyAlignment="1">
      <alignment horizontal="center" vertical="center" wrapText="1"/>
    </xf>
    <xf numFmtId="165" fontId="30" fillId="7" borderId="8" xfId="0" applyNumberFormat="1" applyFont="1" applyFill="1" applyBorder="1" applyAlignment="1">
      <alignment horizontal="center" vertical="center" wrapText="1"/>
    </xf>
    <xf numFmtId="165" fontId="30" fillId="7" borderId="3" xfId="0" applyNumberFormat="1" applyFont="1" applyFill="1" applyBorder="1" applyAlignment="1">
      <alignment horizontal="center" vertical="center" wrapText="1"/>
    </xf>
    <xf numFmtId="0" fontId="13" fillId="3" borderId="33" xfId="0" applyFont="1" applyFill="1" applyBorder="1" applyAlignment="1">
      <alignment horizontal="center"/>
    </xf>
    <xf numFmtId="0" fontId="13" fillId="3" borderId="3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5" xfId="0" applyBorder="1" applyAlignment="1">
      <alignment horizontal="center"/>
    </xf>
    <xf numFmtId="0" fontId="56" fillId="7" borderId="14" xfId="0" applyFont="1" applyFill="1" applyBorder="1" applyAlignment="1">
      <alignment horizontal="center" vertical="center"/>
    </xf>
    <xf numFmtId="0" fontId="56" fillId="7" borderId="17" xfId="0" applyFont="1" applyFill="1" applyBorder="1" applyAlignment="1">
      <alignment horizontal="center" vertical="center"/>
    </xf>
    <xf numFmtId="0" fontId="58" fillId="0" borderId="1" xfId="0" applyFont="1" applyBorder="1" applyAlignment="1">
      <alignment horizontal="center" vertical="center"/>
    </xf>
    <xf numFmtId="0" fontId="58" fillId="0" borderId="18" xfId="0" applyFon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/>
    </xf>
    <xf numFmtId="0" fontId="59" fillId="3" borderId="1" xfId="0" applyFont="1" applyFill="1" applyBorder="1" applyAlignment="1">
      <alignment horizontal="center" vertical="center"/>
    </xf>
    <xf numFmtId="0" fontId="59" fillId="3" borderId="18" xfId="0" applyFont="1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13" fillId="3" borderId="38" xfId="0" applyFont="1" applyFill="1" applyBorder="1" applyAlignment="1">
      <alignment horizontal="center"/>
    </xf>
    <xf numFmtId="0" fontId="13" fillId="3" borderId="39" xfId="0" applyFont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58" fillId="3" borderId="1" xfId="0" applyFont="1" applyFill="1" applyBorder="1" applyAlignment="1">
      <alignment horizontal="center" vertical="center"/>
    </xf>
    <xf numFmtId="0" fontId="58" fillId="3" borderId="18" xfId="0" applyFont="1" applyFill="1" applyBorder="1" applyAlignment="1">
      <alignment horizontal="center" vertical="center"/>
    </xf>
    <xf numFmtId="0" fontId="58" fillId="0" borderId="1" xfId="0" applyFont="1" applyBorder="1" applyAlignment="1">
      <alignment horizontal="center" vertical="center" wrapText="1"/>
    </xf>
    <xf numFmtId="0" fontId="58" fillId="0" borderId="18" xfId="0" applyFont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57" fillId="0" borderId="4" xfId="0" applyFont="1" applyBorder="1" applyAlignment="1">
      <alignment horizontal="center" vertical="center" wrapText="1"/>
    </xf>
    <xf numFmtId="0" fontId="57" fillId="0" borderId="25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/>
    </xf>
    <xf numFmtId="0" fontId="58" fillId="3" borderId="20" xfId="0" applyFont="1" applyFill="1" applyBorder="1" applyAlignment="1">
      <alignment horizontal="center" vertical="center"/>
    </xf>
    <xf numFmtId="0" fontId="58" fillId="3" borderId="21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58" fillId="0" borderId="2" xfId="0" applyFont="1" applyBorder="1" applyAlignment="1">
      <alignment horizontal="center" vertical="center"/>
    </xf>
    <xf numFmtId="0" fontId="58" fillId="0" borderId="26" xfId="0" applyFont="1" applyBorder="1" applyAlignment="1">
      <alignment horizontal="center"/>
    </xf>
    <xf numFmtId="0" fontId="13" fillId="3" borderId="35" xfId="0" applyFont="1" applyFill="1" applyBorder="1" applyAlignment="1">
      <alignment horizontal="center"/>
    </xf>
    <xf numFmtId="0" fontId="13" fillId="3" borderId="36" xfId="0" applyFont="1" applyFill="1" applyBorder="1" applyAlignment="1">
      <alignment horizontal="center"/>
    </xf>
    <xf numFmtId="0" fontId="58" fillId="3" borderId="1" xfId="0" applyFont="1" applyFill="1" applyBorder="1" applyAlignment="1">
      <alignment horizontal="center"/>
    </xf>
    <xf numFmtId="0" fontId="58" fillId="3" borderId="18" xfId="0" applyFont="1" applyFill="1" applyBorder="1" applyAlignment="1">
      <alignment horizontal="center"/>
    </xf>
    <xf numFmtId="0" fontId="27" fillId="7" borderId="1" xfId="0" applyFont="1" applyFill="1" applyBorder="1" applyAlignment="1">
      <alignment horizontal="center" vertical="center"/>
    </xf>
    <xf numFmtId="0" fontId="60" fillId="6" borderId="1" xfId="0" applyFont="1" applyFill="1" applyBorder="1" applyAlignment="1">
      <alignment horizontal="center" vertical="center"/>
    </xf>
    <xf numFmtId="0" fontId="58" fillId="3" borderId="37" xfId="0" applyFont="1" applyFill="1" applyBorder="1"/>
    <xf numFmtId="0" fontId="58" fillId="3" borderId="8" xfId="0" applyFont="1" applyFill="1" applyBorder="1"/>
    <xf numFmtId="0" fontId="58" fillId="3" borderId="3" xfId="0" applyFont="1" applyFill="1" applyBorder="1"/>
    <xf numFmtId="0" fontId="57" fillId="8" borderId="44" xfId="0" applyFont="1" applyFill="1" applyBorder="1" applyAlignment="1">
      <alignment vertical="center"/>
    </xf>
    <xf numFmtId="0" fontId="57" fillId="8" borderId="45" xfId="0" applyFont="1" applyFill="1" applyBorder="1" applyAlignment="1">
      <alignment vertical="center"/>
    </xf>
    <xf numFmtId="0" fontId="57" fillId="8" borderId="41" xfId="0" applyFont="1" applyFill="1" applyBorder="1" applyAlignment="1">
      <alignment vertical="center"/>
    </xf>
    <xf numFmtId="0" fontId="13" fillId="3" borderId="9" xfId="0" applyFont="1" applyFill="1" applyBorder="1" applyAlignment="1">
      <alignment horizontal="center" vertical="center"/>
    </xf>
    <xf numFmtId="0" fontId="57" fillId="0" borderId="37" xfId="0" applyFont="1" applyBorder="1" applyAlignment="1">
      <alignment vertical="center" wrapText="1"/>
    </xf>
    <xf numFmtId="0" fontId="57" fillId="0" borderId="8" xfId="0" applyFont="1" applyBorder="1" applyAlignment="1">
      <alignment vertical="center" wrapText="1"/>
    </xf>
    <xf numFmtId="0" fontId="57" fillId="0" borderId="3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7" xfId="0" applyBorder="1"/>
    <xf numFmtId="0" fontId="0" fillId="0" borderId="8" xfId="0" applyBorder="1"/>
    <xf numFmtId="0" fontId="0" fillId="0" borderId="3" xfId="0" applyBorder="1"/>
    <xf numFmtId="0" fontId="56" fillId="7" borderId="42" xfId="0" applyFont="1" applyFill="1" applyBorder="1" applyAlignment="1">
      <alignment horizontal="center" vertical="center"/>
    </xf>
    <xf numFmtId="0" fontId="56" fillId="7" borderId="43" xfId="0" applyFont="1" applyFill="1" applyBorder="1" applyAlignment="1">
      <alignment horizontal="center" vertical="center"/>
    </xf>
    <xf numFmtId="0" fontId="56" fillId="7" borderId="28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3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0" fillId="13" borderId="15" xfId="0" applyFont="1" applyFill="1" applyBorder="1" applyAlignment="1">
      <alignment horizontal="center" vertical="center"/>
    </xf>
    <xf numFmtId="0" fontId="10" fillId="23" borderId="15" xfId="0" applyFont="1" applyFill="1" applyBorder="1" applyAlignment="1">
      <alignment horizontal="center" vertical="center" wrapText="1"/>
    </xf>
    <xf numFmtId="0" fontId="58" fillId="0" borderId="26" xfId="0" applyFont="1" applyBorder="1" applyAlignment="1">
      <alignment horizontal="center" vertical="center"/>
    </xf>
    <xf numFmtId="0" fontId="0" fillId="0" borderId="37" xfId="0" applyBorder="1" applyAlignment="1" applyProtection="1">
      <alignment vertical="center" wrapText="1"/>
      <protection locked="0"/>
    </xf>
    <xf numFmtId="0" fontId="0" fillId="0" borderId="8" xfId="0" applyBorder="1" applyAlignment="1" applyProtection="1">
      <alignment vertical="center" wrapText="1"/>
      <protection locked="0"/>
    </xf>
    <xf numFmtId="0" fontId="0" fillId="0" borderId="3" xfId="0" applyBorder="1" applyAlignment="1" applyProtection="1">
      <alignment vertical="center" wrapText="1"/>
      <protection locked="0"/>
    </xf>
    <xf numFmtId="0" fontId="56" fillId="7" borderId="42" xfId="0" applyFont="1" applyFill="1" applyBorder="1" applyAlignment="1">
      <alignment horizontal="center" vertical="center" wrapText="1"/>
    </xf>
    <xf numFmtId="0" fontId="56" fillId="7" borderId="43" xfId="0" applyFont="1" applyFill="1" applyBorder="1" applyAlignment="1">
      <alignment horizontal="center" vertical="center" wrapText="1"/>
    </xf>
    <xf numFmtId="0" fontId="56" fillId="7" borderId="28" xfId="0" applyFont="1" applyFill="1" applyBorder="1" applyAlignment="1">
      <alignment horizontal="center" vertical="center" wrapText="1"/>
    </xf>
    <xf numFmtId="0" fontId="0" fillId="3" borderId="37" xfId="0" applyFill="1" applyBorder="1" applyAlignment="1" applyProtection="1">
      <alignment vertical="center" wrapText="1"/>
      <protection locked="0"/>
    </xf>
    <xf numFmtId="0" fontId="0" fillId="3" borderId="8" xfId="0" applyFill="1" applyBorder="1" applyAlignment="1" applyProtection="1">
      <alignment vertical="center" wrapText="1"/>
      <protection locked="0"/>
    </xf>
    <xf numFmtId="0" fontId="0" fillId="3" borderId="3" xfId="0" applyFill="1" applyBorder="1" applyAlignment="1" applyProtection="1">
      <alignment vertical="center" wrapText="1"/>
      <protection locked="0"/>
    </xf>
    <xf numFmtId="0" fontId="0" fillId="3" borderId="37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0" fontId="0" fillId="3" borderId="3" xfId="0" applyFill="1" applyBorder="1" applyAlignment="1">
      <alignment vertical="center"/>
    </xf>
    <xf numFmtId="9" fontId="51" fillId="22" borderId="0" xfId="106" applyNumberFormat="1" applyFont="1" applyFill="1" applyAlignment="1">
      <alignment horizontal="center" vertical="center"/>
    </xf>
    <xf numFmtId="9" fontId="51" fillId="17" borderId="0" xfId="106" applyNumberFormat="1" applyFont="1" applyFill="1" applyAlignment="1">
      <alignment horizontal="center" vertical="center"/>
    </xf>
    <xf numFmtId="9" fontId="13" fillId="17" borderId="0" xfId="106" applyNumberFormat="1" applyFont="1" applyFill="1" applyAlignment="1">
      <alignment horizontal="center" vertical="center"/>
    </xf>
    <xf numFmtId="9" fontId="13" fillId="22" borderId="0" xfId="106" applyNumberFormat="1" applyFont="1" applyFill="1" applyAlignment="1">
      <alignment horizontal="center" vertical="center"/>
    </xf>
  </cellXfs>
  <cellStyles count="111">
    <cellStyle name="Followed Hyperlink 10" xfId="2" xr:uid="{00000000-0005-0000-0000-000000000000}"/>
    <cellStyle name="Followed Hyperlink 11" xfId="3" xr:uid="{00000000-0005-0000-0000-000001000000}"/>
    <cellStyle name="Followed Hyperlink 12" xfId="4" xr:uid="{00000000-0005-0000-0000-000002000000}"/>
    <cellStyle name="Followed Hyperlink 13" xfId="5" xr:uid="{00000000-0005-0000-0000-000003000000}"/>
    <cellStyle name="Followed Hyperlink 14" xfId="6" xr:uid="{00000000-0005-0000-0000-000004000000}"/>
    <cellStyle name="Followed Hyperlink 15" xfId="7" xr:uid="{00000000-0005-0000-0000-000005000000}"/>
    <cellStyle name="Followed Hyperlink 16" xfId="8" xr:uid="{00000000-0005-0000-0000-000006000000}"/>
    <cellStyle name="Followed Hyperlink 17" xfId="9" xr:uid="{00000000-0005-0000-0000-000007000000}"/>
    <cellStyle name="Followed Hyperlink 18" xfId="10" xr:uid="{00000000-0005-0000-0000-000008000000}"/>
    <cellStyle name="Followed Hyperlink 19" xfId="11" xr:uid="{00000000-0005-0000-0000-000009000000}"/>
    <cellStyle name="Followed Hyperlink 2" xfId="12" xr:uid="{00000000-0005-0000-0000-00000A000000}"/>
    <cellStyle name="Followed Hyperlink 20" xfId="13" xr:uid="{00000000-0005-0000-0000-00000B000000}"/>
    <cellStyle name="Followed Hyperlink 21" xfId="14" xr:uid="{00000000-0005-0000-0000-00000C000000}"/>
    <cellStyle name="Followed Hyperlink 22" xfId="15" xr:uid="{00000000-0005-0000-0000-00000D000000}"/>
    <cellStyle name="Followed Hyperlink 23" xfId="16" xr:uid="{00000000-0005-0000-0000-00000E000000}"/>
    <cellStyle name="Followed Hyperlink 24" xfId="17" xr:uid="{00000000-0005-0000-0000-00000F000000}"/>
    <cellStyle name="Followed Hyperlink 25" xfId="18" xr:uid="{00000000-0005-0000-0000-000010000000}"/>
    <cellStyle name="Followed Hyperlink 26" xfId="19" xr:uid="{00000000-0005-0000-0000-000011000000}"/>
    <cellStyle name="Followed Hyperlink 27" xfId="20" xr:uid="{00000000-0005-0000-0000-000012000000}"/>
    <cellStyle name="Followed Hyperlink 28" xfId="21" xr:uid="{00000000-0005-0000-0000-000013000000}"/>
    <cellStyle name="Followed Hyperlink 29" xfId="22" xr:uid="{00000000-0005-0000-0000-000014000000}"/>
    <cellStyle name="Followed Hyperlink 3" xfId="23" xr:uid="{00000000-0005-0000-0000-000015000000}"/>
    <cellStyle name="Followed Hyperlink 30" xfId="24" xr:uid="{00000000-0005-0000-0000-000016000000}"/>
    <cellStyle name="Followed Hyperlink 31" xfId="25" xr:uid="{00000000-0005-0000-0000-000017000000}"/>
    <cellStyle name="Followed Hyperlink 32" xfId="26" xr:uid="{00000000-0005-0000-0000-000018000000}"/>
    <cellStyle name="Followed Hyperlink 33" xfId="27" xr:uid="{00000000-0005-0000-0000-000019000000}"/>
    <cellStyle name="Followed Hyperlink 34" xfId="28" xr:uid="{00000000-0005-0000-0000-00001A000000}"/>
    <cellStyle name="Followed Hyperlink 35" xfId="29" xr:uid="{00000000-0005-0000-0000-00001B000000}"/>
    <cellStyle name="Followed Hyperlink 36" xfId="30" xr:uid="{00000000-0005-0000-0000-00001C000000}"/>
    <cellStyle name="Followed Hyperlink 37" xfId="31" xr:uid="{00000000-0005-0000-0000-00001D000000}"/>
    <cellStyle name="Followed Hyperlink 38" xfId="32" xr:uid="{00000000-0005-0000-0000-00001E000000}"/>
    <cellStyle name="Followed Hyperlink 39" xfId="33" xr:uid="{00000000-0005-0000-0000-00001F000000}"/>
    <cellStyle name="Followed Hyperlink 4" xfId="34" xr:uid="{00000000-0005-0000-0000-000020000000}"/>
    <cellStyle name="Followed Hyperlink 40" xfId="35" xr:uid="{00000000-0005-0000-0000-000021000000}"/>
    <cellStyle name="Followed Hyperlink 41" xfId="36" xr:uid="{00000000-0005-0000-0000-000022000000}"/>
    <cellStyle name="Followed Hyperlink 42" xfId="37" xr:uid="{00000000-0005-0000-0000-000023000000}"/>
    <cellStyle name="Followed Hyperlink 43" xfId="38" xr:uid="{00000000-0005-0000-0000-000024000000}"/>
    <cellStyle name="Followed Hyperlink 44" xfId="39" xr:uid="{00000000-0005-0000-0000-000025000000}"/>
    <cellStyle name="Followed Hyperlink 45" xfId="40" xr:uid="{00000000-0005-0000-0000-000026000000}"/>
    <cellStyle name="Followed Hyperlink 46" xfId="41" xr:uid="{00000000-0005-0000-0000-000027000000}"/>
    <cellStyle name="Followed Hyperlink 47" xfId="42" xr:uid="{00000000-0005-0000-0000-000028000000}"/>
    <cellStyle name="Followed Hyperlink 48" xfId="43" xr:uid="{00000000-0005-0000-0000-000029000000}"/>
    <cellStyle name="Followed Hyperlink 49" xfId="44" xr:uid="{00000000-0005-0000-0000-00002A000000}"/>
    <cellStyle name="Followed Hyperlink 5" xfId="45" xr:uid="{00000000-0005-0000-0000-00002B000000}"/>
    <cellStyle name="Followed Hyperlink 50" xfId="46" xr:uid="{00000000-0005-0000-0000-00002C000000}"/>
    <cellStyle name="Followed Hyperlink 51" xfId="47" xr:uid="{00000000-0005-0000-0000-00002D000000}"/>
    <cellStyle name="Followed Hyperlink 52" xfId="48" xr:uid="{00000000-0005-0000-0000-00002E000000}"/>
    <cellStyle name="Followed Hyperlink 6" xfId="49" xr:uid="{00000000-0005-0000-0000-00002F000000}"/>
    <cellStyle name="Followed Hyperlink 7" xfId="50" xr:uid="{00000000-0005-0000-0000-000030000000}"/>
    <cellStyle name="Followed Hyperlink 8" xfId="51" xr:uid="{00000000-0005-0000-0000-000031000000}"/>
    <cellStyle name="Followed Hyperlink 9" xfId="52" xr:uid="{00000000-0005-0000-0000-000032000000}"/>
    <cellStyle name="Hyperlink 10" xfId="53" xr:uid="{00000000-0005-0000-0000-000033000000}"/>
    <cellStyle name="Hyperlink 11" xfId="54" xr:uid="{00000000-0005-0000-0000-000034000000}"/>
    <cellStyle name="Hyperlink 12" xfId="55" xr:uid="{00000000-0005-0000-0000-000035000000}"/>
    <cellStyle name="Hyperlink 13" xfId="56" xr:uid="{00000000-0005-0000-0000-000036000000}"/>
    <cellStyle name="Hyperlink 14" xfId="57" xr:uid="{00000000-0005-0000-0000-000037000000}"/>
    <cellStyle name="Hyperlink 15" xfId="58" xr:uid="{00000000-0005-0000-0000-000038000000}"/>
    <cellStyle name="Hyperlink 16" xfId="59" xr:uid="{00000000-0005-0000-0000-000039000000}"/>
    <cellStyle name="Hyperlink 17" xfId="60" xr:uid="{00000000-0005-0000-0000-00003A000000}"/>
    <cellStyle name="Hyperlink 18" xfId="61" xr:uid="{00000000-0005-0000-0000-00003B000000}"/>
    <cellStyle name="Hyperlink 19" xfId="62" xr:uid="{00000000-0005-0000-0000-00003C000000}"/>
    <cellStyle name="Hyperlink 2" xfId="63" xr:uid="{00000000-0005-0000-0000-00003D000000}"/>
    <cellStyle name="Hyperlink 20" xfId="64" xr:uid="{00000000-0005-0000-0000-00003E000000}"/>
    <cellStyle name="Hyperlink 21" xfId="65" xr:uid="{00000000-0005-0000-0000-00003F000000}"/>
    <cellStyle name="Hyperlink 22" xfId="66" xr:uid="{00000000-0005-0000-0000-000040000000}"/>
    <cellStyle name="Hyperlink 23" xfId="67" xr:uid="{00000000-0005-0000-0000-000041000000}"/>
    <cellStyle name="Hyperlink 24" xfId="68" xr:uid="{00000000-0005-0000-0000-000042000000}"/>
    <cellStyle name="Hyperlink 25" xfId="69" xr:uid="{00000000-0005-0000-0000-000043000000}"/>
    <cellStyle name="Hyperlink 26" xfId="70" xr:uid="{00000000-0005-0000-0000-000044000000}"/>
    <cellStyle name="Hyperlink 27" xfId="71" xr:uid="{00000000-0005-0000-0000-000045000000}"/>
    <cellStyle name="Hyperlink 28" xfId="72" xr:uid="{00000000-0005-0000-0000-000046000000}"/>
    <cellStyle name="Hyperlink 29" xfId="73" xr:uid="{00000000-0005-0000-0000-000047000000}"/>
    <cellStyle name="Hyperlink 3" xfId="74" xr:uid="{00000000-0005-0000-0000-000048000000}"/>
    <cellStyle name="Hyperlink 30" xfId="75" xr:uid="{00000000-0005-0000-0000-000049000000}"/>
    <cellStyle name="Hyperlink 31" xfId="76" xr:uid="{00000000-0005-0000-0000-00004A000000}"/>
    <cellStyle name="Hyperlink 32" xfId="77" xr:uid="{00000000-0005-0000-0000-00004B000000}"/>
    <cellStyle name="Hyperlink 33" xfId="78" xr:uid="{00000000-0005-0000-0000-00004C000000}"/>
    <cellStyle name="Hyperlink 34" xfId="79" xr:uid="{00000000-0005-0000-0000-00004D000000}"/>
    <cellStyle name="Hyperlink 35" xfId="80" xr:uid="{00000000-0005-0000-0000-00004E000000}"/>
    <cellStyle name="Hyperlink 36" xfId="81" xr:uid="{00000000-0005-0000-0000-00004F000000}"/>
    <cellStyle name="Hyperlink 37" xfId="82" xr:uid="{00000000-0005-0000-0000-000050000000}"/>
    <cellStyle name="Hyperlink 38" xfId="83" xr:uid="{00000000-0005-0000-0000-000051000000}"/>
    <cellStyle name="Hyperlink 39" xfId="84" xr:uid="{00000000-0005-0000-0000-000052000000}"/>
    <cellStyle name="Hyperlink 4" xfId="85" xr:uid="{00000000-0005-0000-0000-000053000000}"/>
    <cellStyle name="Hyperlink 40" xfId="86" xr:uid="{00000000-0005-0000-0000-000054000000}"/>
    <cellStyle name="Hyperlink 41" xfId="87" xr:uid="{00000000-0005-0000-0000-000055000000}"/>
    <cellStyle name="Hyperlink 42" xfId="88" xr:uid="{00000000-0005-0000-0000-000056000000}"/>
    <cellStyle name="Hyperlink 43" xfId="89" xr:uid="{00000000-0005-0000-0000-000057000000}"/>
    <cellStyle name="Hyperlink 44" xfId="90" xr:uid="{00000000-0005-0000-0000-000058000000}"/>
    <cellStyle name="Hyperlink 45" xfId="91" xr:uid="{00000000-0005-0000-0000-000059000000}"/>
    <cellStyle name="Hyperlink 46" xfId="92" xr:uid="{00000000-0005-0000-0000-00005A000000}"/>
    <cellStyle name="Hyperlink 47" xfId="93" xr:uid="{00000000-0005-0000-0000-00005B000000}"/>
    <cellStyle name="Hyperlink 48" xfId="94" xr:uid="{00000000-0005-0000-0000-00005C000000}"/>
    <cellStyle name="Hyperlink 49" xfId="95" xr:uid="{00000000-0005-0000-0000-00005D000000}"/>
    <cellStyle name="Hyperlink 5" xfId="96" xr:uid="{00000000-0005-0000-0000-00005E000000}"/>
    <cellStyle name="Hyperlink 50" xfId="97" xr:uid="{00000000-0005-0000-0000-00005F000000}"/>
    <cellStyle name="Hyperlink 51" xfId="98" xr:uid="{00000000-0005-0000-0000-000060000000}"/>
    <cellStyle name="Hyperlink 52" xfId="99" xr:uid="{00000000-0005-0000-0000-000061000000}"/>
    <cellStyle name="Hyperlink 6" xfId="100" xr:uid="{00000000-0005-0000-0000-000062000000}"/>
    <cellStyle name="Hyperlink 7" xfId="101" xr:uid="{00000000-0005-0000-0000-000063000000}"/>
    <cellStyle name="Hyperlink 8" xfId="102" xr:uid="{00000000-0005-0000-0000-000064000000}"/>
    <cellStyle name="Hyperlink 9" xfId="103" xr:uid="{00000000-0005-0000-0000-000065000000}"/>
    <cellStyle name="Normal" xfId="0" builtinId="0"/>
    <cellStyle name="Normal 2" xfId="1" xr:uid="{00000000-0005-0000-0000-000067000000}"/>
    <cellStyle name="Normal 2 2" xfId="105" xr:uid="{00000000-0005-0000-0000-000068000000}"/>
    <cellStyle name="Normal 2 2 2" xfId="109" xr:uid="{00000000-0005-0000-0000-000069000000}"/>
    <cellStyle name="Normal 2 3" xfId="107" xr:uid="{00000000-0005-0000-0000-00006A000000}"/>
    <cellStyle name="Normal 3" xfId="104" xr:uid="{00000000-0005-0000-0000-00006B000000}"/>
    <cellStyle name="Normal 3 2" xfId="108" xr:uid="{00000000-0005-0000-0000-00006C000000}"/>
    <cellStyle name="Normal 4" xfId="106" xr:uid="{00000000-0005-0000-0000-00006D000000}"/>
    <cellStyle name="Normal 4 2" xfId="110" xr:uid="{00000000-0005-0000-0000-00006E000000}"/>
  </cellStyles>
  <dxfs count="1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EE3112"/>
      <color rgb="FFC9A6E4"/>
      <color rgb="FFFFABAB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Team Load Pojection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DAB-46BB-AC8C-5C17A8AC5ED2}"/>
              </c:ext>
            </c:extLst>
          </c:dPt>
          <c:dPt>
            <c:idx val="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DAB-46BB-AC8C-5C17A8AC5ED2}"/>
              </c:ext>
            </c:extLst>
          </c:dPt>
          <c:dPt>
            <c:idx val="2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DAB-46BB-AC8C-5C17A8AC5ED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tint val="9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9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9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DAB-46BB-AC8C-5C17A8AC5ED2}"/>
              </c:ext>
            </c:extLst>
          </c:dPt>
          <c:dPt>
            <c:idx val="4"/>
            <c:bubble3D val="0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2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DAB-46BB-AC8C-5C17A8AC5ED2}"/>
              </c:ext>
            </c:extLst>
          </c:dPt>
          <c:dPt>
            <c:idx val="5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DAB-46BB-AC8C-5C17A8AC5ED2}"/>
              </c:ext>
            </c:extLst>
          </c:dPt>
          <c:dLbls>
            <c:dLbl>
              <c:idx val="0"/>
              <c:layout>
                <c:manualLayout>
                  <c:x val="0.1969561701958786"/>
                  <c:y val="0.1061338928698208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354011917341179"/>
                      <c:h val="0.1744134574070344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EDAB-46BB-AC8C-5C17A8AC5ED2}"/>
                </c:ext>
              </c:extLst>
            </c:dLbl>
            <c:dLbl>
              <c:idx val="1"/>
              <c:layout>
                <c:manualLayout>
                  <c:x val="0.35170842051722323"/>
                  <c:y val="2.5287816855300106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DAB-46BB-AC8C-5C17A8AC5ED2}"/>
                </c:ext>
              </c:extLst>
            </c:dLbl>
            <c:dLbl>
              <c:idx val="2"/>
              <c:layout>
                <c:manualLayout>
                  <c:x val="-0.20621775761267966"/>
                  <c:y val="7.912459370061665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323863078760233"/>
                      <c:h val="0.1777685999674005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EDAB-46BB-AC8C-5C17A8AC5ED2}"/>
                </c:ext>
              </c:extLst>
            </c:dLbl>
            <c:dLbl>
              <c:idx val="3"/>
              <c:layout>
                <c:manualLayout>
                  <c:x val="-0.18265765881756682"/>
                  <c:y val="-4.4418632493381731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189572892598638"/>
                      <c:h val="0.1224712556341524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EDAB-46BB-AC8C-5C17A8AC5ED2}"/>
                </c:ext>
              </c:extLst>
            </c:dLbl>
            <c:dLbl>
              <c:idx val="4"/>
              <c:layout>
                <c:manualLayout>
                  <c:x val="-0.13002067875138637"/>
                  <c:y val="-0.1498476312003293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712926694946004"/>
                      <c:h val="5.943433834907879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EDAB-46BB-AC8C-5C17A8AC5ED2}"/>
                </c:ext>
              </c:extLst>
            </c:dLbl>
            <c:dLbl>
              <c:idx val="5"/>
              <c:layout>
                <c:manualLayout>
                  <c:x val="0.33313919865445735"/>
                  <c:y val="-0.1136015613360924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190084993962531"/>
                      <c:h val="0.2177439073102593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EDAB-46BB-AC8C-5C17A8AC5E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'Release Breakdown - Mgmt'!$F$28:$F$33</c:f>
              <c:strCache>
                <c:ptCount val="6"/>
                <c:pt idx="0">
                  <c:v>Enhancements</c:v>
                </c:pt>
                <c:pt idx="1">
                  <c:v>Regulatory (CAP)</c:v>
                </c:pt>
                <c:pt idx="2">
                  <c:v>Technical Debit</c:v>
                </c:pt>
                <c:pt idx="3">
                  <c:v>Regulatory (Non-CAP)</c:v>
                </c:pt>
                <c:pt idx="4">
                  <c:v>Maintenance</c:v>
                </c:pt>
                <c:pt idx="5">
                  <c:v>Support\Unscheduled Maintainace</c:v>
                </c:pt>
              </c:strCache>
            </c:strRef>
          </c:cat>
          <c:val>
            <c:numRef>
              <c:f>'Release Breakdown - Mgmt'!$G$28:$G$33</c:f>
              <c:numCache>
                <c:formatCode>0</c:formatCode>
                <c:ptCount val="6"/>
                <c:pt idx="0">
                  <c:v>36</c:v>
                </c:pt>
                <c:pt idx="1">
                  <c:v>124</c:v>
                </c:pt>
                <c:pt idx="2">
                  <c:v>56</c:v>
                </c:pt>
                <c:pt idx="3">
                  <c:v>0</c:v>
                </c:pt>
                <c:pt idx="4">
                  <c:v>17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DAB-46BB-AC8C-5C17A8AC5ED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70C0"/>
                </a:solidFill>
              </a:rPr>
              <a:t>SP Committed</a:t>
            </a:r>
            <a:r>
              <a:rPr lang="en-US" b="1" baseline="0">
                <a:solidFill>
                  <a:srgbClr val="0070C0"/>
                </a:solidFill>
              </a:rPr>
              <a:t> vs. Achieved</a:t>
            </a:r>
          </a:p>
        </c:rich>
      </c:tx>
      <c:layout>
        <c:manualLayout>
          <c:xMode val="edge"/>
          <c:yMode val="edge"/>
          <c:x val="0.29414566929133856"/>
          <c:y val="1.25786163522012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70C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235086160448431E-2"/>
          <c:y val="0.18498753117206984"/>
          <c:w val="0.91604049493813278"/>
          <c:h val="0.58522002081410651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'Commit vs Achieved Chart - Mgmt'!$E$16:$E$17</c:f>
              <c:strCache>
                <c:ptCount val="2"/>
                <c:pt idx="1">
                  <c:v>SP Committed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'Commit vs Achieved Chart - Mgmt'!$E$18:$E$24</c:f>
              <c:numCache>
                <c:formatCode>0</c:formatCode>
                <c:ptCount val="7"/>
                <c:pt idx="0">
                  <c:v>36</c:v>
                </c:pt>
                <c:pt idx="1">
                  <c:v>36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  <c:pt idx="5">
                  <c:v>36</c:v>
                </c:pt>
                <c:pt idx="6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E8-4B14-BC50-7C39380D1B3F}"/>
            </c:ext>
          </c:extLst>
        </c:ser>
        <c:ser>
          <c:idx val="2"/>
          <c:order val="2"/>
          <c:tx>
            <c:strRef>
              <c:f>'Commit vs Achieved Chart - Mgmt'!$F$16:$F$17</c:f>
              <c:strCache>
                <c:ptCount val="2"/>
                <c:pt idx="1">
                  <c:v>SP Achieved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'Commit vs Achieved Chart - Mgmt'!$F$18:$F$24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E8-4B14-BC50-7C39380D1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983432"/>
        <c:axId val="30114449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'Commit vs Achieved Chart - Mgmt'!$D$16:$D$17</c15:sqref>
                        </c15:formulaRef>
                      </c:ext>
                    </c:extLst>
                    <c:strCache>
                      <c:ptCount val="2"/>
                      <c:pt idx="1">
                        <c:v>Sprint End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'Commit vs Achieved Chart - Mgmt'!$D$18:$D$22</c15:sqref>
                        </c15:formulaRef>
                      </c:ext>
                    </c:extLst>
                    <c:numCache>
                      <c:formatCode>m/d/yyyy</c:formatCode>
                      <c:ptCount val="5"/>
                      <c:pt idx="0">
                        <c:v>42765</c:v>
                      </c:pt>
                      <c:pt idx="1">
                        <c:v>42779</c:v>
                      </c:pt>
                      <c:pt idx="2">
                        <c:v>42793</c:v>
                      </c:pt>
                      <c:pt idx="3">
                        <c:v>42807</c:v>
                      </c:pt>
                      <c:pt idx="4">
                        <c:v>42821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F7E8-4B14-BC50-7C39380D1B3F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'Commit vs Achieved Chart - Mgmt'!$G$16:$G$17</c15:sqref>
                        </c15:formulaRef>
                      </c:ext>
                    </c:extLst>
                    <c:strCache>
                      <c:ptCount val="2"/>
                      <c:pt idx="1">
                        <c:v>% Delivered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'Commit vs Achieved Chart - Mgmt'!$G$18:$G$22</c15:sqref>
                        </c15:formulaRef>
                      </c:ext>
                    </c:extLst>
                    <c:numCache>
                      <c:formatCode>0%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7E8-4B14-BC50-7C39380D1B3F}"/>
                  </c:ext>
                </c:extLst>
              </c15:ser>
            </c15:filteredBarSeries>
          </c:ext>
        </c:extLst>
      </c:barChart>
      <c:catAx>
        <c:axId val="206983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144496"/>
        <c:crosses val="autoZero"/>
        <c:auto val="1"/>
        <c:lblAlgn val="ctr"/>
        <c:lblOffset val="100"/>
        <c:noMultiLvlLbl val="0"/>
      </c:catAx>
      <c:valAx>
        <c:axId val="30114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83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0</xdr:colOff>
      <xdr:row>6</xdr:row>
      <xdr:rowOff>2590889</xdr:rowOff>
    </xdr:from>
    <xdr:ext cx="1605227" cy="405432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 rot="19687936">
          <a:off x="13233287" y="4524464"/>
          <a:ext cx="1605227" cy="40543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20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/>
            </a:solidFill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93010</xdr:colOff>
      <xdr:row>0</xdr:row>
      <xdr:rowOff>79561</xdr:rowOff>
    </xdr:from>
    <xdr:to>
      <xdr:col>9</xdr:col>
      <xdr:colOff>504266</xdr:colOff>
      <xdr:row>17</xdr:row>
      <xdr:rowOff>156882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oneCellAnchor>
    <xdr:from>
      <xdr:col>5</xdr:col>
      <xdr:colOff>1311088</xdr:colOff>
      <xdr:row>8</xdr:row>
      <xdr:rowOff>145677</xdr:rowOff>
    </xdr:from>
    <xdr:ext cx="1647265" cy="358588"/>
    <xdr:sp macro="" textlink="$F$40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8180294" y="1680883"/>
          <a:ext cx="1647265" cy="358588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numCol="1" rtlCol="0" anchor="t">
          <a:noAutofit/>
        </a:bodyPr>
        <a:lstStyle/>
        <a:p>
          <a:pPr algn="ctr"/>
          <a:fld id="{6EC093E1-B039-4A7E-9AE2-09E7EB604500}" type="TxLink">
            <a:rPr lang="en-US" sz="2000" b="1" i="0" u="none" strike="noStrike">
              <a:solidFill>
                <a:srgbClr val="000000"/>
              </a:solidFill>
              <a:latin typeface="Calibri"/>
            </a:rPr>
            <a:pPr algn="ctr"/>
            <a:t>Total SP : 247</a:t>
          </a:fld>
          <a:endParaRPr lang="en-US" sz="3600" b="1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149224</xdr:rowOff>
    </xdr:from>
    <xdr:to>
      <xdr:col>6</xdr:col>
      <xdr:colOff>1028701</xdr:colOff>
      <xdr:row>14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palanisr/AppData/Local/Microsoft/Windows/Temporary%20Internet%20Files/Content.Outlook/WVJGN2VG/SprintMetrics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ature Progress"/>
      <sheetName val="Release Progress"/>
      <sheetName val="SPR burn up"/>
      <sheetName val="Program"/>
      <sheetName val="Teams"/>
    </sheetNames>
    <sheetDataSet>
      <sheetData sheetId="0"/>
      <sheetData sheetId="1"/>
      <sheetData sheetId="2">
        <row r="4">
          <cell r="B4">
            <v>4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F20"/>
  <sheetViews>
    <sheetView workbookViewId="0">
      <selection activeCell="D11" sqref="D11"/>
    </sheetView>
  </sheetViews>
  <sheetFormatPr defaultColWidth="9.140625" defaultRowHeight="15" x14ac:dyDescent="0.25"/>
  <cols>
    <col min="1" max="1" width="3.5703125" style="38" customWidth="1"/>
    <col min="2" max="3" width="9.140625" style="38"/>
    <col min="4" max="4" width="36.28515625" style="38" customWidth="1"/>
    <col min="5" max="5" width="27.85546875" style="39" customWidth="1"/>
    <col min="6" max="6" width="28.7109375" style="38" customWidth="1"/>
    <col min="7" max="16384" width="9.140625" style="38"/>
  </cols>
  <sheetData>
    <row r="3" spans="4:6" ht="36" x14ac:dyDescent="0.55000000000000004">
      <c r="D3" s="211" t="s">
        <v>127</v>
      </c>
      <c r="E3" s="212"/>
      <c r="F3" s="212"/>
    </row>
    <row r="4" spans="4:6" ht="15.75" x14ac:dyDescent="0.25">
      <c r="D4" s="57" t="s">
        <v>0</v>
      </c>
      <c r="E4" s="56" t="s">
        <v>121</v>
      </c>
      <c r="F4" s="5"/>
    </row>
    <row r="5" spans="4:6" ht="15.75" x14ac:dyDescent="0.25">
      <c r="D5" s="57" t="s">
        <v>1</v>
      </c>
      <c r="E5" s="65">
        <v>42751</v>
      </c>
      <c r="F5" s="5"/>
    </row>
    <row r="6" spans="4:6" ht="15.75" x14ac:dyDescent="0.25">
      <c r="D6" s="57" t="s">
        <v>2</v>
      </c>
      <c r="E6" s="58">
        <v>42858</v>
      </c>
      <c r="F6" s="5"/>
    </row>
    <row r="9" spans="4:6" s="59" customFormat="1" ht="25.5" customHeight="1" x14ac:dyDescent="0.25">
      <c r="D9" s="213" t="s">
        <v>3</v>
      </c>
      <c r="E9" s="213"/>
      <c r="F9" s="213"/>
    </row>
    <row r="10" spans="4:6" ht="15.75" x14ac:dyDescent="0.25">
      <c r="D10" s="60" t="s">
        <v>4</v>
      </c>
      <c r="E10" s="60" t="s">
        <v>5</v>
      </c>
      <c r="F10" s="60" t="s">
        <v>6</v>
      </c>
    </row>
    <row r="11" spans="4:6" x14ac:dyDescent="0.25">
      <c r="D11" s="5" t="s">
        <v>128</v>
      </c>
      <c r="E11" s="5" t="s">
        <v>7</v>
      </c>
      <c r="F11" s="1" t="s">
        <v>12</v>
      </c>
    </row>
    <row r="12" spans="4:6" x14ac:dyDescent="0.25">
      <c r="D12" s="5" t="s">
        <v>129</v>
      </c>
      <c r="E12" s="5" t="s">
        <v>11</v>
      </c>
      <c r="F12" s="1" t="s">
        <v>12</v>
      </c>
    </row>
    <row r="13" spans="4:6" x14ac:dyDescent="0.25">
      <c r="D13" s="1" t="s">
        <v>130</v>
      </c>
      <c r="E13" s="5" t="s">
        <v>14</v>
      </c>
      <c r="F13" s="1" t="s">
        <v>12</v>
      </c>
    </row>
    <row r="14" spans="4:6" x14ac:dyDescent="0.25">
      <c r="D14" s="5" t="s">
        <v>131</v>
      </c>
      <c r="E14" s="5" t="s">
        <v>14</v>
      </c>
      <c r="F14" s="5" t="s">
        <v>16</v>
      </c>
    </row>
    <row r="15" spans="4:6" x14ac:dyDescent="0.25">
      <c r="D15" s="5" t="s">
        <v>132</v>
      </c>
      <c r="E15" s="5" t="s">
        <v>17</v>
      </c>
      <c r="F15" s="5" t="s">
        <v>122</v>
      </c>
    </row>
    <row r="16" spans="4:6" x14ac:dyDescent="0.25">
      <c r="D16" s="80" t="s">
        <v>133</v>
      </c>
      <c r="E16" s="80" t="s">
        <v>123</v>
      </c>
      <c r="F16" s="80" t="s">
        <v>8</v>
      </c>
    </row>
    <row r="17" spans="4:6" x14ac:dyDescent="0.25">
      <c r="D17" s="80" t="s">
        <v>134</v>
      </c>
      <c r="E17" s="80" t="s">
        <v>18</v>
      </c>
      <c r="F17" s="80" t="s">
        <v>8</v>
      </c>
    </row>
    <row r="18" spans="4:6" x14ac:dyDescent="0.25">
      <c r="D18" s="80" t="s">
        <v>135</v>
      </c>
      <c r="E18" s="80" t="s">
        <v>19</v>
      </c>
      <c r="F18" s="80" t="s">
        <v>8</v>
      </c>
    </row>
    <row r="19" spans="4:6" x14ac:dyDescent="0.25">
      <c r="D19" s="78" t="s">
        <v>136</v>
      </c>
      <c r="E19" s="79" t="s">
        <v>124</v>
      </c>
      <c r="F19" s="80" t="s">
        <v>125</v>
      </c>
    </row>
    <row r="20" spans="4:6" x14ac:dyDescent="0.25">
      <c r="D20" s="78" t="s">
        <v>137</v>
      </c>
      <c r="E20" s="79" t="s">
        <v>20</v>
      </c>
      <c r="F20" s="80" t="s">
        <v>16</v>
      </c>
    </row>
  </sheetData>
  <mergeCells count="2">
    <mergeCell ref="D3:F3"/>
    <mergeCell ref="D9:F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C23"/>
  <sheetViews>
    <sheetView zoomScaleNormal="100" workbookViewId="0">
      <selection activeCell="T6" sqref="T6"/>
    </sheetView>
  </sheetViews>
  <sheetFormatPr defaultColWidth="9.140625" defaultRowHeight="15" x14ac:dyDescent="0.25"/>
  <cols>
    <col min="1" max="1" width="3.140625" style="1" customWidth="1"/>
    <col min="2" max="2" width="32.85546875" style="1" bestFit="1" customWidth="1"/>
    <col min="3" max="3" width="5.5703125" style="1" bestFit="1" customWidth="1"/>
    <col min="4" max="4" width="4.140625" style="2" bestFit="1" customWidth="1"/>
    <col min="5" max="5" width="6.42578125" style="2" bestFit="1" customWidth="1"/>
    <col min="6" max="6" width="5.5703125" style="2" bestFit="1" customWidth="1"/>
    <col min="7" max="7" width="4.140625" style="2" bestFit="1" customWidth="1"/>
    <col min="8" max="8" width="6.42578125" style="2" bestFit="1" customWidth="1"/>
    <col min="9" max="9" width="5.85546875" style="1" bestFit="1" customWidth="1"/>
    <col min="10" max="10" width="4.140625" style="1" bestFit="1" customWidth="1"/>
    <col min="11" max="11" width="6.42578125" style="1" bestFit="1" customWidth="1"/>
    <col min="12" max="12" width="5.85546875" style="1" bestFit="1" customWidth="1"/>
    <col min="13" max="13" width="4.140625" style="1" bestFit="1" customWidth="1"/>
    <col min="14" max="14" width="6.42578125" style="1" bestFit="1" customWidth="1"/>
    <col min="15" max="15" width="6.140625" style="1" bestFit="1" customWidth="1"/>
    <col min="16" max="16" width="4.140625" style="1" bestFit="1" customWidth="1"/>
    <col min="17" max="17" width="6.42578125" style="1" bestFit="1" customWidth="1"/>
    <col min="18" max="18" width="6.140625" style="1" bestFit="1" customWidth="1"/>
    <col min="19" max="19" width="4.140625" style="1" bestFit="1" customWidth="1"/>
    <col min="20" max="20" width="6.42578125" style="1" bestFit="1" customWidth="1"/>
    <col min="21" max="21" width="5.7109375" style="1" bestFit="1" customWidth="1"/>
    <col min="22" max="22" width="4.140625" style="1" bestFit="1" customWidth="1"/>
    <col min="23" max="23" width="6.42578125" style="1" bestFit="1" customWidth="1"/>
    <col min="24" max="24" width="5.7109375" style="1" bestFit="1" customWidth="1"/>
    <col min="25" max="25" width="4.140625" style="1" bestFit="1" customWidth="1"/>
    <col min="26" max="26" width="6.42578125" style="1" bestFit="1" customWidth="1"/>
    <col min="27" max="27" width="6.5703125" style="1" customWidth="1"/>
    <col min="28" max="28" width="5.5703125" style="1" bestFit="1" customWidth="1"/>
    <col min="29" max="29" width="6.42578125" style="1" bestFit="1" customWidth="1"/>
    <col min="30" max="16384" width="9.140625" style="1"/>
  </cols>
  <sheetData>
    <row r="2" spans="2:29" x14ac:dyDescent="0.25">
      <c r="B2" s="214" t="s">
        <v>21</v>
      </c>
      <c r="C2" s="214"/>
    </row>
    <row r="3" spans="2:29" ht="15" customHeight="1" x14ac:dyDescent="0.25">
      <c r="B3" s="228" t="s">
        <v>22</v>
      </c>
      <c r="C3" s="230" t="str">
        <f>Lookups!C6</f>
        <v>Sprint 1</v>
      </c>
      <c r="D3" s="231"/>
      <c r="E3" s="231"/>
      <c r="F3" s="232" t="str">
        <f>Lookups!C7</f>
        <v>Sprint 2</v>
      </c>
      <c r="G3" s="233"/>
      <c r="H3" s="233"/>
      <c r="I3" s="232" t="str">
        <f>Lookups!C8</f>
        <v>Sprint 3</v>
      </c>
      <c r="J3" s="233"/>
      <c r="K3" s="233"/>
      <c r="L3" s="232" t="str">
        <f>Lookups!C9</f>
        <v>Sprint 4</v>
      </c>
      <c r="M3" s="233"/>
      <c r="N3" s="233"/>
      <c r="O3" s="232" t="str">
        <f>Lookups!C10</f>
        <v>Sprint 5</v>
      </c>
      <c r="P3" s="233"/>
      <c r="Q3" s="233"/>
      <c r="R3" s="232" t="str">
        <f>Lookups!C11</f>
        <v>Sprint 6</v>
      </c>
      <c r="S3" s="233"/>
      <c r="T3" s="233"/>
      <c r="U3" s="232" t="str">
        <f>Lookups!C12</f>
        <v>Sprint 7</v>
      </c>
      <c r="V3" s="233"/>
      <c r="W3" s="233"/>
      <c r="X3" s="232" t="str">
        <f>Lookups!C13</f>
        <v>Srpint 8 (1 WK HIP)</v>
      </c>
      <c r="Y3" s="233"/>
      <c r="Z3" s="233"/>
      <c r="AA3" s="225" t="s">
        <v>23</v>
      </c>
      <c r="AB3" s="226"/>
      <c r="AC3" s="227"/>
    </row>
    <row r="4" spans="2:29" ht="15" customHeight="1" x14ac:dyDescent="0.25">
      <c r="B4" s="229"/>
      <c r="C4" s="53">
        <f>Lookups!D6</f>
        <v>42752</v>
      </c>
      <c r="D4" s="73" t="s">
        <v>24</v>
      </c>
      <c r="E4" s="54">
        <f>Lookups!E6</f>
        <v>42765</v>
      </c>
      <c r="F4" s="53">
        <f>Lookups!D7</f>
        <v>42766</v>
      </c>
      <c r="G4" s="73" t="s">
        <v>24</v>
      </c>
      <c r="H4" s="54">
        <f>Lookups!E7</f>
        <v>42779</v>
      </c>
      <c r="I4" s="53">
        <f>Lookups!D8</f>
        <v>42780</v>
      </c>
      <c r="J4" s="73" t="s">
        <v>24</v>
      </c>
      <c r="K4" s="54">
        <f>Lookups!E8</f>
        <v>42793</v>
      </c>
      <c r="L4" s="53">
        <f>Lookups!D9</f>
        <v>42794</v>
      </c>
      <c r="M4" s="73" t="s">
        <v>24</v>
      </c>
      <c r="N4" s="54">
        <f>Lookups!E9</f>
        <v>42807</v>
      </c>
      <c r="O4" s="53">
        <f>Lookups!D10</f>
        <v>42808</v>
      </c>
      <c r="P4" s="73" t="s">
        <v>24</v>
      </c>
      <c r="Q4" s="54">
        <f>Lookups!E10</f>
        <v>42821</v>
      </c>
      <c r="R4" s="53">
        <f>Lookups!D11</f>
        <v>42822</v>
      </c>
      <c r="S4" s="73" t="s">
        <v>24</v>
      </c>
      <c r="T4" s="54">
        <f>Lookups!E11</f>
        <v>42835</v>
      </c>
      <c r="U4" s="53">
        <f>Lookups!D12</f>
        <v>42836</v>
      </c>
      <c r="V4" s="73" t="s">
        <v>24</v>
      </c>
      <c r="W4" s="54">
        <f>Lookups!E12</f>
        <v>42849</v>
      </c>
      <c r="X4" s="53">
        <f>Lookups!D13</f>
        <v>42850</v>
      </c>
      <c r="Y4" s="73" t="s">
        <v>24</v>
      </c>
      <c r="Z4" s="54">
        <f>Lookups!E13</f>
        <v>42856</v>
      </c>
      <c r="AA4" s="51"/>
      <c r="AB4" s="73"/>
      <c r="AC4" s="52"/>
    </row>
    <row r="5" spans="2:29" ht="15" customHeight="1" x14ac:dyDescent="0.25">
      <c r="B5" s="228"/>
      <c r="C5" s="50" t="s">
        <v>25</v>
      </c>
      <c r="D5" s="50" t="s">
        <v>26</v>
      </c>
      <c r="E5" s="50" t="s">
        <v>27</v>
      </c>
      <c r="F5" s="8" t="s">
        <v>25</v>
      </c>
      <c r="G5" s="8" t="s">
        <v>26</v>
      </c>
      <c r="H5" s="8" t="s">
        <v>27</v>
      </c>
      <c r="I5" s="8" t="s">
        <v>25</v>
      </c>
      <c r="J5" s="8" t="s">
        <v>26</v>
      </c>
      <c r="K5" s="8" t="s">
        <v>27</v>
      </c>
      <c r="L5" s="8" t="s">
        <v>25</v>
      </c>
      <c r="M5" s="8" t="s">
        <v>26</v>
      </c>
      <c r="N5" s="8" t="s">
        <v>27</v>
      </c>
      <c r="O5" s="8" t="s">
        <v>25</v>
      </c>
      <c r="P5" s="8" t="s">
        <v>26</v>
      </c>
      <c r="Q5" s="8" t="s">
        <v>27</v>
      </c>
      <c r="R5" s="8" t="s">
        <v>25</v>
      </c>
      <c r="S5" s="8" t="s">
        <v>26</v>
      </c>
      <c r="T5" s="8" t="s">
        <v>27</v>
      </c>
      <c r="U5" s="8" t="s">
        <v>25</v>
      </c>
      <c r="V5" s="8" t="s">
        <v>26</v>
      </c>
      <c r="W5" s="8" t="s">
        <v>27</v>
      </c>
      <c r="X5" s="8" t="s">
        <v>25</v>
      </c>
      <c r="Y5" s="8" t="s">
        <v>26</v>
      </c>
      <c r="Z5" s="8" t="s">
        <v>27</v>
      </c>
      <c r="AA5" s="8" t="s">
        <v>25</v>
      </c>
      <c r="AB5" s="8" t="s">
        <v>26</v>
      </c>
      <c r="AC5" s="8" t="s">
        <v>27</v>
      </c>
    </row>
    <row r="6" spans="2:29" ht="18" customHeight="1" x14ac:dyDescent="0.25">
      <c r="B6" s="37" t="str">
        <f>Team!D11</f>
        <v>TeamMember1</v>
      </c>
      <c r="C6" s="61">
        <v>8</v>
      </c>
      <c r="D6" s="61">
        <v>0</v>
      </c>
      <c r="E6" s="61">
        <v>0</v>
      </c>
      <c r="F6" s="61">
        <v>8</v>
      </c>
      <c r="G6" s="61">
        <v>0</v>
      </c>
      <c r="H6" s="61">
        <v>0</v>
      </c>
      <c r="I6" s="61">
        <v>8</v>
      </c>
      <c r="J6" s="61">
        <v>0</v>
      </c>
      <c r="K6" s="61">
        <v>0</v>
      </c>
      <c r="L6" s="61">
        <v>8</v>
      </c>
      <c r="M6" s="61">
        <v>0</v>
      </c>
      <c r="N6" s="61">
        <v>0</v>
      </c>
      <c r="O6" s="61">
        <v>8</v>
      </c>
      <c r="P6" s="61">
        <v>0</v>
      </c>
      <c r="Q6" s="61">
        <v>0</v>
      </c>
      <c r="R6" s="61">
        <v>8</v>
      </c>
      <c r="S6" s="61">
        <v>0</v>
      </c>
      <c r="T6" s="61">
        <v>0</v>
      </c>
      <c r="U6" s="61">
        <v>8</v>
      </c>
      <c r="V6" s="61">
        <v>0</v>
      </c>
      <c r="W6" s="61">
        <v>0</v>
      </c>
      <c r="X6" s="61">
        <v>4</v>
      </c>
      <c r="Y6" s="61">
        <v>0</v>
      </c>
      <c r="Z6" s="61">
        <v>0</v>
      </c>
      <c r="AA6" s="62">
        <f t="shared" ref="AA6:AC10" si="0">SUM(C6,F6,I6,L6,O6,R6,U6,X6)</f>
        <v>60</v>
      </c>
      <c r="AB6" s="62">
        <f t="shared" si="0"/>
        <v>0</v>
      </c>
      <c r="AC6" s="62">
        <f t="shared" si="0"/>
        <v>0</v>
      </c>
    </row>
    <row r="7" spans="2:29" ht="20.100000000000001" customHeight="1" x14ac:dyDescent="0.25">
      <c r="B7" s="37" t="str">
        <f>Team!D12</f>
        <v>TeamMember2</v>
      </c>
      <c r="C7" s="61">
        <v>8</v>
      </c>
      <c r="D7" s="61">
        <v>0</v>
      </c>
      <c r="E7" s="61">
        <v>0</v>
      </c>
      <c r="F7" s="61">
        <v>8</v>
      </c>
      <c r="G7" s="61">
        <v>0</v>
      </c>
      <c r="H7" s="61">
        <v>0</v>
      </c>
      <c r="I7" s="61">
        <v>8</v>
      </c>
      <c r="J7" s="61">
        <v>0</v>
      </c>
      <c r="K7" s="61">
        <v>0</v>
      </c>
      <c r="L7" s="61">
        <v>8</v>
      </c>
      <c r="M7" s="61">
        <v>0</v>
      </c>
      <c r="N7" s="61">
        <v>0</v>
      </c>
      <c r="O7" s="61">
        <v>8</v>
      </c>
      <c r="P7" s="61">
        <v>0</v>
      </c>
      <c r="Q7" s="61">
        <v>0</v>
      </c>
      <c r="R7" s="61">
        <v>8</v>
      </c>
      <c r="S7" s="61">
        <v>0</v>
      </c>
      <c r="T7" s="61">
        <v>0</v>
      </c>
      <c r="U7" s="61">
        <v>8</v>
      </c>
      <c r="V7" s="61">
        <v>0</v>
      </c>
      <c r="W7" s="61">
        <v>0</v>
      </c>
      <c r="X7" s="61">
        <v>4</v>
      </c>
      <c r="Y7" s="61">
        <v>0</v>
      </c>
      <c r="Z7" s="61">
        <v>0</v>
      </c>
      <c r="AA7" s="62">
        <f t="shared" si="0"/>
        <v>60</v>
      </c>
      <c r="AB7" s="62">
        <f t="shared" si="0"/>
        <v>0</v>
      </c>
      <c r="AC7" s="62">
        <f t="shared" si="0"/>
        <v>0</v>
      </c>
    </row>
    <row r="8" spans="2:29" ht="20.100000000000001" customHeight="1" x14ac:dyDescent="0.25">
      <c r="B8" s="37" t="str">
        <f>Team!D13</f>
        <v>TeamMember3</v>
      </c>
      <c r="C8" s="61">
        <v>10</v>
      </c>
      <c r="D8" s="61">
        <v>0</v>
      </c>
      <c r="E8" s="61">
        <v>0</v>
      </c>
      <c r="F8" s="61">
        <v>10</v>
      </c>
      <c r="G8" s="61">
        <v>0</v>
      </c>
      <c r="H8" s="61">
        <v>0</v>
      </c>
      <c r="I8" s="61">
        <v>10</v>
      </c>
      <c r="J8" s="61">
        <v>0</v>
      </c>
      <c r="K8" s="61">
        <v>0</v>
      </c>
      <c r="L8" s="61">
        <v>10</v>
      </c>
      <c r="M8" s="61">
        <v>0</v>
      </c>
      <c r="N8" s="61">
        <v>0</v>
      </c>
      <c r="O8" s="61">
        <v>10</v>
      </c>
      <c r="P8" s="61">
        <v>0</v>
      </c>
      <c r="Q8" s="61">
        <v>0</v>
      </c>
      <c r="R8" s="61">
        <v>10</v>
      </c>
      <c r="S8" s="61">
        <v>0</v>
      </c>
      <c r="T8" s="61">
        <v>0</v>
      </c>
      <c r="U8" s="61">
        <v>10</v>
      </c>
      <c r="V8" s="61">
        <v>0</v>
      </c>
      <c r="W8" s="61">
        <v>0</v>
      </c>
      <c r="X8" s="61">
        <v>5</v>
      </c>
      <c r="Y8" s="61">
        <v>0</v>
      </c>
      <c r="Z8" s="61">
        <v>0</v>
      </c>
      <c r="AA8" s="62">
        <f t="shared" si="0"/>
        <v>75</v>
      </c>
      <c r="AB8" s="62">
        <f t="shared" si="0"/>
        <v>0</v>
      </c>
      <c r="AC8" s="62">
        <f t="shared" si="0"/>
        <v>0</v>
      </c>
    </row>
    <row r="9" spans="2:29" ht="20.100000000000001" customHeight="1" x14ac:dyDescent="0.25">
      <c r="B9" s="37" t="str">
        <f>Team!D14</f>
        <v>TeamMember4</v>
      </c>
      <c r="C9" s="61">
        <v>10</v>
      </c>
      <c r="D9" s="61">
        <v>0</v>
      </c>
      <c r="E9" s="61">
        <v>0</v>
      </c>
      <c r="F9" s="61">
        <v>10</v>
      </c>
      <c r="G9" s="61">
        <v>0</v>
      </c>
      <c r="H9" s="61">
        <v>0</v>
      </c>
      <c r="I9" s="61">
        <v>10</v>
      </c>
      <c r="J9" s="61">
        <v>0</v>
      </c>
      <c r="K9" s="61">
        <v>0</v>
      </c>
      <c r="L9" s="61">
        <v>10</v>
      </c>
      <c r="M9" s="61">
        <v>0</v>
      </c>
      <c r="N9" s="61">
        <v>0</v>
      </c>
      <c r="O9" s="61">
        <v>10</v>
      </c>
      <c r="P9" s="61">
        <v>0</v>
      </c>
      <c r="Q9" s="61">
        <v>0</v>
      </c>
      <c r="R9" s="61">
        <v>10</v>
      </c>
      <c r="S9" s="61">
        <v>0</v>
      </c>
      <c r="T9" s="61">
        <v>0</v>
      </c>
      <c r="U9" s="61">
        <v>10</v>
      </c>
      <c r="V9" s="61">
        <v>0</v>
      </c>
      <c r="W9" s="61">
        <v>0</v>
      </c>
      <c r="X9" s="61">
        <v>5</v>
      </c>
      <c r="Y9" s="61">
        <v>0</v>
      </c>
      <c r="Z9" s="61">
        <v>0</v>
      </c>
      <c r="AA9" s="62">
        <f t="shared" si="0"/>
        <v>75</v>
      </c>
      <c r="AB9" s="62">
        <f t="shared" si="0"/>
        <v>0</v>
      </c>
      <c r="AC9" s="62">
        <f t="shared" si="0"/>
        <v>0</v>
      </c>
    </row>
    <row r="10" spans="2:29" ht="20.100000000000001" customHeight="1" x14ac:dyDescent="0.25">
      <c r="B10" s="6" t="s">
        <v>28</v>
      </c>
      <c r="C10" s="62">
        <f t="shared" ref="C10:W10" si="1">SUM(C6:C9)</f>
        <v>36</v>
      </c>
      <c r="D10" s="62">
        <f t="shared" si="1"/>
        <v>0</v>
      </c>
      <c r="E10" s="62">
        <f t="shared" si="1"/>
        <v>0</v>
      </c>
      <c r="F10" s="62">
        <f t="shared" si="1"/>
        <v>36</v>
      </c>
      <c r="G10" s="62">
        <f t="shared" si="1"/>
        <v>0</v>
      </c>
      <c r="H10" s="62">
        <f t="shared" si="1"/>
        <v>0</v>
      </c>
      <c r="I10" s="62">
        <f t="shared" si="1"/>
        <v>36</v>
      </c>
      <c r="J10" s="62">
        <f t="shared" si="1"/>
        <v>0</v>
      </c>
      <c r="K10" s="62">
        <f t="shared" si="1"/>
        <v>0</v>
      </c>
      <c r="L10" s="62">
        <f t="shared" si="1"/>
        <v>36</v>
      </c>
      <c r="M10" s="62">
        <f t="shared" si="1"/>
        <v>0</v>
      </c>
      <c r="N10" s="62">
        <f t="shared" si="1"/>
        <v>0</v>
      </c>
      <c r="O10" s="62">
        <f t="shared" si="1"/>
        <v>36</v>
      </c>
      <c r="P10" s="62">
        <f t="shared" si="1"/>
        <v>0</v>
      </c>
      <c r="Q10" s="62">
        <f t="shared" si="1"/>
        <v>0</v>
      </c>
      <c r="R10" s="62">
        <f t="shared" si="1"/>
        <v>36</v>
      </c>
      <c r="S10" s="62">
        <f t="shared" si="1"/>
        <v>0</v>
      </c>
      <c r="T10" s="62">
        <f t="shared" si="1"/>
        <v>0</v>
      </c>
      <c r="U10" s="62">
        <f t="shared" si="1"/>
        <v>36</v>
      </c>
      <c r="V10" s="62">
        <f t="shared" si="1"/>
        <v>0</v>
      </c>
      <c r="W10" s="62">
        <f t="shared" si="1"/>
        <v>0</v>
      </c>
      <c r="X10" s="62">
        <f t="shared" ref="X10:Z10" si="2">SUM(X6:X9)</f>
        <v>18</v>
      </c>
      <c r="Y10" s="62">
        <f t="shared" si="2"/>
        <v>0</v>
      </c>
      <c r="Z10" s="62">
        <f t="shared" si="2"/>
        <v>0</v>
      </c>
      <c r="AA10" s="62">
        <f t="shared" si="0"/>
        <v>270</v>
      </c>
      <c r="AB10" s="62">
        <f t="shared" si="0"/>
        <v>0</v>
      </c>
      <c r="AC10" s="62">
        <f t="shared" si="0"/>
        <v>0</v>
      </c>
    </row>
    <row r="11" spans="2:29" ht="12" customHeight="1" x14ac:dyDescent="0.25">
      <c r="B11" s="7" t="s">
        <v>29</v>
      </c>
      <c r="C11" s="221">
        <f>SUM(D10+E10)</f>
        <v>0</v>
      </c>
      <c r="D11" s="221"/>
      <c r="E11" s="221"/>
      <c r="F11" s="221">
        <f t="shared" ref="F11" si="3">SUM(G10+H10)</f>
        <v>0</v>
      </c>
      <c r="G11" s="221"/>
      <c r="H11" s="221"/>
      <c r="I11" s="221">
        <f t="shared" ref="I11" si="4">SUM(J10+K10)</f>
        <v>0</v>
      </c>
      <c r="J11" s="221"/>
      <c r="K11" s="221"/>
      <c r="L11" s="221">
        <f t="shared" ref="L11" si="5">SUM(M10+N10)</f>
        <v>0</v>
      </c>
      <c r="M11" s="221"/>
      <c r="N11" s="221"/>
      <c r="O11" s="221">
        <f t="shared" ref="O11" si="6">SUM(P10+Q10)</f>
        <v>0</v>
      </c>
      <c r="P11" s="221"/>
      <c r="Q11" s="221"/>
      <c r="R11" s="221">
        <f t="shared" ref="R11" si="7">SUM(S10+T10)</f>
        <v>0</v>
      </c>
      <c r="S11" s="221"/>
      <c r="T11" s="221"/>
      <c r="U11" s="221">
        <f t="shared" ref="U11" si="8">SUM(V10+W10)</f>
        <v>0</v>
      </c>
      <c r="V11" s="221"/>
      <c r="W11" s="221"/>
      <c r="X11" s="221">
        <f t="shared" ref="X11" si="9">SUM(Y10+Z10)</f>
        <v>0</v>
      </c>
      <c r="Y11" s="221"/>
      <c r="Z11" s="221"/>
      <c r="AA11" s="218">
        <f t="shared" ref="AA11" si="10">SUM(AB10+AC10)</f>
        <v>0</v>
      </c>
      <c r="AB11" s="219"/>
      <c r="AC11" s="220"/>
    </row>
    <row r="12" spans="2:29" ht="12.75" customHeight="1" x14ac:dyDescent="0.25">
      <c r="B12" s="63" t="s">
        <v>30</v>
      </c>
      <c r="C12" s="215">
        <f>D15*0.15</f>
        <v>5.3999999999999995</v>
      </c>
      <c r="D12" s="215"/>
      <c r="E12" s="215"/>
      <c r="F12" s="215">
        <f>G15*0.15</f>
        <v>5.3999999999999995</v>
      </c>
      <c r="G12" s="215"/>
      <c r="H12" s="215"/>
      <c r="I12" s="215">
        <f>J15*0.15</f>
        <v>5.3999999999999995</v>
      </c>
      <c r="J12" s="215"/>
      <c r="K12" s="215"/>
      <c r="L12" s="215">
        <f>M15*0.15</f>
        <v>5.3999999999999995</v>
      </c>
      <c r="M12" s="215"/>
      <c r="N12" s="215"/>
      <c r="O12" s="215">
        <f>P15*0.15</f>
        <v>5.3999999999999995</v>
      </c>
      <c r="P12" s="215"/>
      <c r="Q12" s="215"/>
      <c r="R12" s="215">
        <f>S15*0.15</f>
        <v>5.3999999999999995</v>
      </c>
      <c r="S12" s="215"/>
      <c r="T12" s="215"/>
      <c r="U12" s="215">
        <f>V15*0.15</f>
        <v>5.3999999999999995</v>
      </c>
      <c r="V12" s="215"/>
      <c r="W12" s="215"/>
      <c r="X12" s="215">
        <f>Y15*0.15</f>
        <v>2.6999999999999997</v>
      </c>
      <c r="Y12" s="215"/>
      <c r="Z12" s="215"/>
      <c r="AA12" s="222">
        <f t="shared" ref="AA12" si="11">AB15*0.15</f>
        <v>40.5</v>
      </c>
      <c r="AB12" s="223"/>
      <c r="AC12" s="224"/>
    </row>
    <row r="13" spans="2:29" ht="12.75" customHeight="1" x14ac:dyDescent="0.25">
      <c r="B13" s="63" t="s">
        <v>31</v>
      </c>
      <c r="C13" s="215">
        <f>D15*0.2</f>
        <v>7.2</v>
      </c>
      <c r="D13" s="215"/>
      <c r="E13" s="215"/>
      <c r="F13" s="215">
        <f t="shared" ref="F13" si="12">G15*0.2</f>
        <v>7.2</v>
      </c>
      <c r="G13" s="215"/>
      <c r="H13" s="215"/>
      <c r="I13" s="215">
        <f t="shared" ref="I13" si="13">J15*0.2</f>
        <v>7.2</v>
      </c>
      <c r="J13" s="215"/>
      <c r="K13" s="215"/>
      <c r="L13" s="215">
        <f t="shared" ref="L13" si="14">M15*0.2</f>
        <v>7.2</v>
      </c>
      <c r="M13" s="215"/>
      <c r="N13" s="215"/>
      <c r="O13" s="215">
        <f t="shared" ref="O13" si="15">P15*0.2</f>
        <v>7.2</v>
      </c>
      <c r="P13" s="215"/>
      <c r="Q13" s="215"/>
      <c r="R13" s="215">
        <f t="shared" ref="R13" si="16">S15*0.2</f>
        <v>7.2</v>
      </c>
      <c r="S13" s="215"/>
      <c r="T13" s="215"/>
      <c r="U13" s="215">
        <f t="shared" ref="U13" si="17">V15*0.2</f>
        <v>7.2</v>
      </c>
      <c r="V13" s="215"/>
      <c r="W13" s="215"/>
      <c r="X13" s="215">
        <f t="shared" ref="X13" si="18">Y15*0.2</f>
        <v>3.6</v>
      </c>
      <c r="Y13" s="215"/>
      <c r="Z13" s="215"/>
      <c r="AA13" s="222">
        <f t="shared" ref="AA13" si="19">AB15*0.2</f>
        <v>54</v>
      </c>
      <c r="AB13" s="223"/>
      <c r="AC13" s="224"/>
    </row>
    <row r="14" spans="2:29" ht="12.75" customHeight="1" x14ac:dyDescent="0.25">
      <c r="B14" s="63" t="s">
        <v>32</v>
      </c>
      <c r="C14" s="216">
        <f>D15*0.5</f>
        <v>18</v>
      </c>
      <c r="D14" s="216"/>
      <c r="E14" s="216"/>
      <c r="F14" s="216">
        <f>G15*0.5</f>
        <v>18</v>
      </c>
      <c r="G14" s="216"/>
      <c r="H14" s="216"/>
      <c r="I14" s="216">
        <f>J15*0.5</f>
        <v>18</v>
      </c>
      <c r="J14" s="216"/>
      <c r="K14" s="216"/>
      <c r="L14" s="216">
        <f>M15*0.5</f>
        <v>18</v>
      </c>
      <c r="M14" s="216"/>
      <c r="N14" s="216"/>
      <c r="O14" s="216">
        <f>P15*0.5</f>
        <v>18</v>
      </c>
      <c r="P14" s="216"/>
      <c r="Q14" s="216"/>
      <c r="R14" s="216">
        <f>S15*0.5</f>
        <v>18</v>
      </c>
      <c r="S14" s="216"/>
      <c r="T14" s="216"/>
      <c r="U14" s="216">
        <f>V15*0.5</f>
        <v>18</v>
      </c>
      <c r="V14" s="216"/>
      <c r="W14" s="216"/>
      <c r="X14" s="216">
        <f>Y15*0.5</f>
        <v>9</v>
      </c>
      <c r="Y14" s="216"/>
      <c r="Z14" s="216"/>
      <c r="AA14" s="222">
        <f t="shared" ref="AA14" si="20">AB15*0.65</f>
        <v>175.5</v>
      </c>
      <c r="AB14" s="223"/>
      <c r="AC14" s="224"/>
    </row>
    <row r="15" spans="2:29" s="11" customFormat="1" ht="36.75" customHeight="1" x14ac:dyDescent="0.25">
      <c r="B15" s="40" t="s">
        <v>33</v>
      </c>
      <c r="C15" s="41"/>
      <c r="D15" s="43">
        <f>(C10-C11)</f>
        <v>36</v>
      </c>
      <c r="E15" s="42"/>
      <c r="F15" s="41"/>
      <c r="G15" s="43">
        <f>(F10-F11)</f>
        <v>36</v>
      </c>
      <c r="H15" s="42"/>
      <c r="I15" s="41"/>
      <c r="J15" s="43">
        <f>(I10-I11)</f>
        <v>36</v>
      </c>
      <c r="K15" s="42"/>
      <c r="L15" s="41"/>
      <c r="M15" s="43">
        <f>(L10-L11)</f>
        <v>36</v>
      </c>
      <c r="N15" s="42"/>
      <c r="O15" s="41"/>
      <c r="P15" s="43">
        <f>(O10-O11)</f>
        <v>36</v>
      </c>
      <c r="Q15" s="42"/>
      <c r="R15" s="41"/>
      <c r="S15" s="43">
        <f>(R10-R11)</f>
        <v>36</v>
      </c>
      <c r="T15" s="42"/>
      <c r="U15" s="41"/>
      <c r="V15" s="43">
        <f>(U10-U11)</f>
        <v>36</v>
      </c>
      <c r="W15" s="42"/>
      <c r="X15" s="41"/>
      <c r="Y15" s="43">
        <f>(X10-X11)</f>
        <v>18</v>
      </c>
      <c r="Z15" s="42"/>
      <c r="AA15" s="41"/>
      <c r="AB15" s="43">
        <f>(AA10-AA11)</f>
        <v>270</v>
      </c>
      <c r="AC15" s="42"/>
    </row>
    <row r="16" spans="2:29" x14ac:dyDescent="0.25">
      <c r="C16" s="2"/>
      <c r="H16" s="1"/>
    </row>
    <row r="17" spans="1:26" x14ac:dyDescent="0.25">
      <c r="C17" s="109">
        <f>SUM(C15:N15)</f>
        <v>144</v>
      </c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10"/>
      <c r="P17" s="110"/>
      <c r="Q17" s="110"/>
      <c r="R17" s="110"/>
      <c r="S17" s="110"/>
      <c r="T17" s="110"/>
    </row>
    <row r="18" spans="1:26" x14ac:dyDescent="0.25">
      <c r="A18" s="66"/>
      <c r="B18" s="155"/>
      <c r="C18" s="111">
        <f>SUM(C15:Q15)</f>
        <v>180</v>
      </c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0"/>
      <c r="S18" s="110"/>
      <c r="T18" s="110"/>
      <c r="U18" s="110"/>
      <c r="V18" s="110"/>
      <c r="W18" s="110"/>
      <c r="X18" s="110"/>
      <c r="Y18" s="110"/>
      <c r="Z18" s="110"/>
    </row>
    <row r="19" spans="1:26" ht="15" hidden="1" customHeight="1" x14ac:dyDescent="0.25">
      <c r="B19" s="1" t="s">
        <v>34</v>
      </c>
      <c r="C19" s="217">
        <f>SUM(C16:T16)</f>
        <v>0</v>
      </c>
      <c r="D19" s="217"/>
      <c r="E19" s="217"/>
      <c r="F19" s="217"/>
      <c r="G19" s="217"/>
      <c r="H19" s="217"/>
      <c r="I19" s="217"/>
      <c r="J19" s="217"/>
      <c r="K19" s="217"/>
      <c r="L19" s="217"/>
      <c r="M19" s="217"/>
      <c r="N19" s="217"/>
      <c r="O19" s="217"/>
      <c r="P19" s="217"/>
      <c r="Q19" s="217"/>
      <c r="R19" s="217"/>
      <c r="S19" s="217"/>
      <c r="T19" s="217"/>
      <c r="U19" s="122"/>
      <c r="V19" s="122"/>
      <c r="W19" s="122"/>
      <c r="X19" s="122"/>
      <c r="Y19" s="122"/>
      <c r="Z19" s="122"/>
    </row>
    <row r="20" spans="1:26" x14ac:dyDescent="0.25">
      <c r="C20" s="112">
        <f>SUM(D15:T15)</f>
        <v>216</v>
      </c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4"/>
      <c r="V20" s="114"/>
      <c r="W20" s="114"/>
      <c r="X20" s="114"/>
      <c r="Y20" s="114"/>
      <c r="Z20" s="114"/>
    </row>
    <row r="21" spans="1:26" x14ac:dyDescent="0.25">
      <c r="C21" s="113">
        <f>SUM(C15:W15)</f>
        <v>252</v>
      </c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4"/>
      <c r="Y21" s="114"/>
      <c r="Z21" s="114"/>
    </row>
    <row r="22" spans="1:26" x14ac:dyDescent="0.25">
      <c r="C22" s="205">
        <f>SUM(C15:Z15)</f>
        <v>270</v>
      </c>
      <c r="D22" s="205"/>
      <c r="E22" s="205"/>
      <c r="F22" s="205"/>
      <c r="G22" s="205"/>
      <c r="H22" s="205"/>
      <c r="I22" s="205"/>
      <c r="J22" s="205"/>
      <c r="K22" s="205"/>
      <c r="L22" s="205"/>
      <c r="M22" s="205"/>
      <c r="N22" s="205"/>
      <c r="O22" s="205"/>
      <c r="P22" s="205"/>
      <c r="Q22" s="205"/>
      <c r="R22" s="205"/>
      <c r="S22" s="205"/>
      <c r="T22" s="205"/>
      <c r="U22" s="205"/>
      <c r="V22" s="205"/>
      <c r="W22" s="205"/>
      <c r="X22" s="205"/>
      <c r="Y22" s="205"/>
      <c r="Z22" s="205"/>
    </row>
    <row r="23" spans="1:26" x14ac:dyDescent="0.25"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</row>
  </sheetData>
  <mergeCells count="48">
    <mergeCell ref="AA3:AC3"/>
    <mergeCell ref="B3:B5"/>
    <mergeCell ref="C3:E3"/>
    <mergeCell ref="F3:H3"/>
    <mergeCell ref="I3:K3"/>
    <mergeCell ref="L3:N3"/>
    <mergeCell ref="U3:W3"/>
    <mergeCell ref="O3:Q3"/>
    <mergeCell ref="R3:T3"/>
    <mergeCell ref="X3:Z3"/>
    <mergeCell ref="AA13:AC13"/>
    <mergeCell ref="AA14:AC14"/>
    <mergeCell ref="O12:Q12"/>
    <mergeCell ref="O13:Q13"/>
    <mergeCell ref="U12:W12"/>
    <mergeCell ref="U13:W13"/>
    <mergeCell ref="U14:W14"/>
    <mergeCell ref="R14:T14"/>
    <mergeCell ref="X13:Z13"/>
    <mergeCell ref="X14:Z14"/>
    <mergeCell ref="C12:E12"/>
    <mergeCell ref="AA11:AC11"/>
    <mergeCell ref="C11:E11"/>
    <mergeCell ref="F11:H11"/>
    <mergeCell ref="I11:K11"/>
    <mergeCell ref="L11:N11"/>
    <mergeCell ref="O11:Q11"/>
    <mergeCell ref="U11:W11"/>
    <mergeCell ref="R11:T11"/>
    <mergeCell ref="AA12:AC12"/>
    <mergeCell ref="X11:Z11"/>
    <mergeCell ref="X12:Z12"/>
    <mergeCell ref="B2:C2"/>
    <mergeCell ref="L13:N13"/>
    <mergeCell ref="L14:N14"/>
    <mergeCell ref="C14:E14"/>
    <mergeCell ref="C19:T19"/>
    <mergeCell ref="O14:Q14"/>
    <mergeCell ref="I12:K12"/>
    <mergeCell ref="I13:K13"/>
    <mergeCell ref="I14:K14"/>
    <mergeCell ref="L12:N12"/>
    <mergeCell ref="R12:T12"/>
    <mergeCell ref="R13:T13"/>
    <mergeCell ref="C13:E13"/>
    <mergeCell ref="F12:H12"/>
    <mergeCell ref="F13:H13"/>
    <mergeCell ref="F14:H1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B1:G19"/>
  <sheetViews>
    <sheetView zoomScale="110" zoomScaleNormal="110" workbookViewId="0">
      <selection activeCell="C19" sqref="C19"/>
    </sheetView>
  </sheetViews>
  <sheetFormatPr defaultColWidth="9.140625" defaultRowHeight="15" x14ac:dyDescent="0.25"/>
  <cols>
    <col min="1" max="1" width="2.5703125" style="1" customWidth="1"/>
    <col min="2" max="2" width="7.5703125" style="1" customWidth="1"/>
    <col min="3" max="3" width="72.5703125" style="1" customWidth="1"/>
    <col min="4" max="4" width="13.140625" style="1" customWidth="1"/>
    <col min="5" max="5" width="19.5703125" style="1" customWidth="1"/>
    <col min="6" max="6" width="9.140625" style="1"/>
    <col min="7" max="7" width="52.42578125" style="1" bestFit="1" customWidth="1"/>
    <col min="8" max="16384" width="9.140625" style="1"/>
  </cols>
  <sheetData>
    <row r="1" spans="2:7" ht="15.75" thickBot="1" x14ac:dyDescent="0.3"/>
    <row r="2" spans="2:7" ht="35.1" customHeight="1" thickBot="1" x14ac:dyDescent="0.3">
      <c r="B2" s="234" t="s">
        <v>35</v>
      </c>
      <c r="C2" s="234"/>
      <c r="D2" s="4" t="s">
        <v>36</v>
      </c>
      <c r="E2" s="4" t="s">
        <v>37</v>
      </c>
      <c r="G2" s="67"/>
    </row>
    <row r="3" spans="2:7" ht="20.100000000000001" customHeight="1" thickTop="1" thickBot="1" x14ac:dyDescent="0.3">
      <c r="B3" s="3">
        <v>1</v>
      </c>
      <c r="C3" s="204" t="s">
        <v>138</v>
      </c>
      <c r="D3" s="119" t="s">
        <v>139</v>
      </c>
      <c r="E3" s="156" t="s">
        <v>39</v>
      </c>
      <c r="G3" s="68"/>
    </row>
    <row r="4" spans="2:7" ht="20.100000000000001" customHeight="1" thickBot="1" x14ac:dyDescent="0.3">
      <c r="B4" s="3">
        <v>2</v>
      </c>
      <c r="C4" s="204" t="s">
        <v>140</v>
      </c>
      <c r="D4" s="119" t="s">
        <v>139</v>
      </c>
      <c r="E4" s="156" t="s">
        <v>39</v>
      </c>
      <c r="G4" s="69"/>
    </row>
    <row r="5" spans="2:7" ht="20.100000000000001" customHeight="1" thickBot="1" x14ac:dyDescent="0.3">
      <c r="B5" s="3">
        <v>3</v>
      </c>
      <c r="C5" s="204" t="s">
        <v>141</v>
      </c>
      <c r="D5" s="119" t="s">
        <v>139</v>
      </c>
      <c r="E5" s="156" t="s">
        <v>39</v>
      </c>
    </row>
    <row r="6" spans="2:7" ht="20.100000000000001" customHeight="1" thickBot="1" x14ac:dyDescent="0.3">
      <c r="B6" s="3">
        <v>4</v>
      </c>
      <c r="C6" s="204" t="s">
        <v>142</v>
      </c>
      <c r="D6" s="119" t="s">
        <v>139</v>
      </c>
      <c r="E6" s="156">
        <v>9</v>
      </c>
    </row>
    <row r="7" spans="2:7" ht="20.100000000000001" customHeight="1" thickBot="1" x14ac:dyDescent="0.3">
      <c r="B7" s="3">
        <v>5</v>
      </c>
      <c r="C7" s="204" t="s">
        <v>143</v>
      </c>
      <c r="D7" s="119" t="s">
        <v>139</v>
      </c>
      <c r="E7" s="156">
        <v>9</v>
      </c>
    </row>
    <row r="8" spans="2:7" ht="20.100000000000001" customHeight="1" thickBot="1" x14ac:dyDescent="0.3">
      <c r="B8" s="3">
        <v>6</v>
      </c>
      <c r="C8" s="204" t="s">
        <v>144</v>
      </c>
      <c r="D8" s="119" t="s">
        <v>139</v>
      </c>
      <c r="E8" s="156">
        <v>8</v>
      </c>
    </row>
    <row r="9" spans="2:7" ht="20.100000000000001" customHeight="1" thickBot="1" x14ac:dyDescent="0.3">
      <c r="B9" s="3">
        <v>7</v>
      </c>
      <c r="C9" s="204" t="s">
        <v>145</v>
      </c>
      <c r="D9" s="119" t="s">
        <v>139</v>
      </c>
      <c r="E9" s="156">
        <v>7</v>
      </c>
    </row>
    <row r="10" spans="2:7" ht="20.100000000000001" customHeight="1" thickBot="1" x14ac:dyDescent="0.3">
      <c r="B10" s="3">
        <v>8</v>
      </c>
      <c r="C10" s="204" t="s">
        <v>146</v>
      </c>
      <c r="D10" s="119" t="s">
        <v>139</v>
      </c>
      <c r="E10" s="156">
        <v>7</v>
      </c>
    </row>
    <row r="11" spans="2:7" ht="20.100000000000001" customHeight="1" thickBot="1" x14ac:dyDescent="0.3">
      <c r="B11" s="3">
        <v>9</v>
      </c>
      <c r="C11" s="204" t="s">
        <v>147</v>
      </c>
      <c r="D11" s="119" t="s">
        <v>139</v>
      </c>
      <c r="E11" s="156">
        <v>3</v>
      </c>
    </row>
    <row r="12" spans="2:7" ht="20.100000000000001" customHeight="1" thickBot="1" x14ac:dyDescent="0.3">
      <c r="B12" s="71">
        <v>10</v>
      </c>
      <c r="C12" s="204"/>
      <c r="D12" s="119"/>
      <c r="E12" s="156"/>
    </row>
    <row r="13" spans="2:7" ht="20.100000000000001" customHeight="1" thickBot="1" x14ac:dyDescent="0.3">
      <c r="B13" s="71">
        <v>11</v>
      </c>
      <c r="C13" s="204"/>
      <c r="D13" s="119"/>
      <c r="E13" s="156"/>
    </row>
    <row r="14" spans="2:7" ht="20.100000000000001" customHeight="1" thickBot="1" x14ac:dyDescent="0.3">
      <c r="B14" s="71">
        <v>12</v>
      </c>
      <c r="C14" s="204"/>
      <c r="D14" s="119"/>
      <c r="E14" s="156"/>
    </row>
    <row r="15" spans="2:7" ht="20.100000000000001" customHeight="1" thickBot="1" x14ac:dyDescent="0.3">
      <c r="B15" s="71">
        <v>13</v>
      </c>
      <c r="C15" s="204"/>
      <c r="D15" s="119"/>
      <c r="E15" s="156"/>
    </row>
    <row r="16" spans="2:7" ht="20.100000000000001" customHeight="1" thickBot="1" x14ac:dyDescent="0.3">
      <c r="B16" s="71">
        <v>14</v>
      </c>
      <c r="C16" s="204"/>
      <c r="D16" s="119"/>
      <c r="E16" s="156"/>
    </row>
    <row r="17" spans="2:5" ht="20.100000000000001" customHeight="1" x14ac:dyDescent="0.25">
      <c r="B17" s="116"/>
      <c r="D17" s="117"/>
      <c r="E17" s="118"/>
    </row>
    <row r="18" spans="2:5" ht="20.100000000000001" customHeight="1" x14ac:dyDescent="0.25">
      <c r="B18" s="115"/>
      <c r="C18" s="210" t="s">
        <v>148</v>
      </c>
      <c r="D18" s="115"/>
      <c r="E18" s="115"/>
    </row>
    <row r="19" spans="2:5" ht="20.100000000000001" customHeight="1" x14ac:dyDescent="0.25"/>
  </sheetData>
  <mergeCells count="1">
    <mergeCell ref="B2:C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B2:AF12"/>
  <sheetViews>
    <sheetView zoomScale="82" zoomScaleNormal="82" workbookViewId="0">
      <selection activeCell="X7" sqref="X7:Z7"/>
    </sheetView>
  </sheetViews>
  <sheetFormatPr defaultColWidth="9.140625" defaultRowHeight="15" x14ac:dyDescent="0.25"/>
  <cols>
    <col min="1" max="1" width="3.28515625" style="1" customWidth="1"/>
    <col min="2" max="2" width="21.42578125" style="1" customWidth="1"/>
    <col min="3" max="3" width="11.7109375" style="1" customWidth="1"/>
    <col min="4" max="4" width="1.5703125" style="1" bestFit="1" customWidth="1"/>
    <col min="5" max="5" width="12" style="1" customWidth="1"/>
    <col min="6" max="6" width="10.42578125" style="64" customWidth="1"/>
    <col min="7" max="7" width="1.5703125" style="1" bestFit="1" customWidth="1"/>
    <col min="8" max="8" width="13.5703125" style="9" customWidth="1"/>
    <col min="9" max="9" width="10.7109375" style="64" customWidth="1"/>
    <col min="10" max="10" width="1.5703125" style="1" bestFit="1" customWidth="1"/>
    <col min="11" max="11" width="13.42578125" style="9" customWidth="1"/>
    <col min="12" max="12" width="10.42578125" style="64" customWidth="1"/>
    <col min="13" max="13" width="1.5703125" style="1" bestFit="1" customWidth="1"/>
    <col min="14" max="14" width="13.28515625" style="9" customWidth="1"/>
    <col min="15" max="15" width="8.5703125" style="64" customWidth="1"/>
    <col min="16" max="16" width="1.5703125" style="1" bestFit="1" customWidth="1"/>
    <col min="17" max="17" width="15.85546875" style="9" customWidth="1"/>
    <col min="18" max="18" width="10.85546875" style="64" customWidth="1"/>
    <col min="19" max="19" width="1.5703125" style="1" customWidth="1"/>
    <col min="20" max="20" width="16.5703125" style="9" customWidth="1"/>
    <col min="21" max="21" width="10.28515625" style="9" customWidth="1"/>
    <col min="22" max="22" width="2.42578125" style="9" customWidth="1"/>
    <col min="23" max="23" width="19.5703125" style="9" customWidth="1"/>
    <col min="24" max="24" width="10.5703125" style="64" customWidth="1"/>
    <col min="25" max="25" width="1.5703125" style="1" bestFit="1" customWidth="1"/>
    <col min="26" max="26" width="16.85546875" style="9" customWidth="1"/>
    <col min="27" max="27" width="8.85546875" style="64" bestFit="1" customWidth="1"/>
    <col min="28" max="28" width="1.5703125" style="1" bestFit="1" customWidth="1"/>
    <col min="29" max="29" width="17" style="9" customWidth="1"/>
    <col min="30" max="30" width="7.140625" style="64" customWidth="1"/>
    <col min="31" max="31" width="1.5703125" style="1" bestFit="1" customWidth="1"/>
    <col min="32" max="32" width="13.5703125" style="9" customWidth="1"/>
    <col min="33" max="16384" width="9.140625" style="1"/>
  </cols>
  <sheetData>
    <row r="2" spans="2:32" ht="5.25" customHeight="1" x14ac:dyDescent="0.25"/>
    <row r="3" spans="2:32" ht="15.75" hidden="1" customHeight="1" x14ac:dyDescent="0.25"/>
    <row r="4" spans="2:32" ht="27" customHeight="1" x14ac:dyDescent="0.25">
      <c r="B4" s="235"/>
      <c r="C4" s="230" t="str">
        <f>Lookups!C6</f>
        <v>Sprint 1</v>
      </c>
      <c r="D4" s="231"/>
      <c r="E4" s="231"/>
      <c r="F4" s="232" t="str">
        <f>Lookups!C7</f>
        <v>Sprint 2</v>
      </c>
      <c r="G4" s="233"/>
      <c r="H4" s="233"/>
      <c r="I4" s="232" t="str">
        <f>Lookups!C8</f>
        <v>Sprint 3</v>
      </c>
      <c r="J4" s="233"/>
      <c r="K4" s="233"/>
      <c r="L4" s="232" t="str">
        <f>Lookups!C9</f>
        <v>Sprint 4</v>
      </c>
      <c r="M4" s="233"/>
      <c r="N4" s="233"/>
      <c r="O4" s="232" t="str">
        <f>Lookups!C10</f>
        <v>Sprint 5</v>
      </c>
      <c r="P4" s="233"/>
      <c r="Q4" s="233"/>
      <c r="R4" s="232" t="str">
        <f>Lookups!C11</f>
        <v>Sprint 6</v>
      </c>
      <c r="S4" s="233"/>
      <c r="T4" s="233"/>
      <c r="U4" s="252" t="str">
        <f>Lookups!C12</f>
        <v>Sprint 7</v>
      </c>
      <c r="V4" s="253"/>
      <c r="W4" s="254"/>
      <c r="X4" s="232" t="str">
        <f>Lookups!C13</f>
        <v>Srpint 8 (1 WK HIP)</v>
      </c>
      <c r="Y4" s="233"/>
      <c r="Z4" s="233"/>
      <c r="AA4" s="1"/>
      <c r="AC4" s="1"/>
      <c r="AD4" s="1"/>
      <c r="AF4" s="1"/>
    </row>
    <row r="5" spans="2:32" ht="18.75" customHeight="1" x14ac:dyDescent="0.25">
      <c r="B5" s="236"/>
      <c r="C5" s="74">
        <f>Lookups!D6</f>
        <v>42752</v>
      </c>
      <c r="D5" s="73" t="s">
        <v>24</v>
      </c>
      <c r="E5" s="75">
        <f>Lookups!E6</f>
        <v>42765</v>
      </c>
      <c r="F5" s="74">
        <f>Lookups!D7</f>
        <v>42766</v>
      </c>
      <c r="G5" s="73" t="s">
        <v>24</v>
      </c>
      <c r="H5" s="75">
        <f>Lookups!E7</f>
        <v>42779</v>
      </c>
      <c r="I5" s="74">
        <f>Lookups!D8</f>
        <v>42780</v>
      </c>
      <c r="J5" s="73" t="s">
        <v>24</v>
      </c>
      <c r="K5" s="75">
        <f>Lookups!E8</f>
        <v>42793</v>
      </c>
      <c r="L5" s="74">
        <f>Lookups!D9</f>
        <v>42794</v>
      </c>
      <c r="M5" s="73" t="s">
        <v>24</v>
      </c>
      <c r="N5" s="75">
        <f>Lookups!E9</f>
        <v>42807</v>
      </c>
      <c r="O5" s="74">
        <f>Lookups!D10</f>
        <v>42808</v>
      </c>
      <c r="P5" s="73" t="s">
        <v>24</v>
      </c>
      <c r="Q5" s="75">
        <f>Lookups!E10</f>
        <v>42821</v>
      </c>
      <c r="R5" s="74">
        <f>Lookups!D11</f>
        <v>42822</v>
      </c>
      <c r="S5" s="73" t="s">
        <v>24</v>
      </c>
      <c r="T5" s="75">
        <f>Lookups!E11</f>
        <v>42835</v>
      </c>
      <c r="U5" s="203">
        <f>Lookups!D12</f>
        <v>42836</v>
      </c>
      <c r="V5" s="202" t="s">
        <v>24</v>
      </c>
      <c r="W5" s="202">
        <f>Lookups!E12</f>
        <v>42849</v>
      </c>
      <c r="X5" s="74">
        <f>Lookups!D13</f>
        <v>42850</v>
      </c>
      <c r="Y5" s="73" t="s">
        <v>24</v>
      </c>
      <c r="Z5" s="75">
        <f>Lookups!E13</f>
        <v>42856</v>
      </c>
      <c r="AA5" s="1"/>
      <c r="AC5" s="1"/>
      <c r="AD5" s="1"/>
      <c r="AF5" s="1"/>
    </row>
    <row r="6" spans="2:32" ht="81" customHeight="1" x14ac:dyDescent="0.25">
      <c r="B6" s="55" t="s">
        <v>36</v>
      </c>
      <c r="C6" s="243"/>
      <c r="D6" s="244"/>
      <c r="E6" s="245"/>
      <c r="F6" s="246" t="s">
        <v>152</v>
      </c>
      <c r="G6" s="244"/>
      <c r="H6" s="245"/>
      <c r="I6" s="247" t="s">
        <v>149</v>
      </c>
      <c r="J6" s="248"/>
      <c r="K6" s="249"/>
      <c r="L6" s="247"/>
      <c r="M6" s="248"/>
      <c r="N6" s="249"/>
      <c r="O6" s="247"/>
      <c r="P6" s="248"/>
      <c r="Q6" s="249"/>
      <c r="R6" s="247"/>
      <c r="S6" s="248"/>
      <c r="T6" s="249"/>
      <c r="U6" s="247" t="s">
        <v>150</v>
      </c>
      <c r="V6" s="248"/>
      <c r="W6" s="249"/>
      <c r="X6" s="247" t="s">
        <v>151</v>
      </c>
      <c r="Y6" s="250"/>
      <c r="Z6" s="251"/>
      <c r="AA6" s="1"/>
      <c r="AC6" s="1"/>
      <c r="AD6" s="1"/>
      <c r="AF6" s="1"/>
    </row>
    <row r="7" spans="2:32" ht="270" customHeight="1" x14ac:dyDescent="0.25">
      <c r="B7" s="55" t="s">
        <v>40</v>
      </c>
      <c r="C7" s="237" t="s">
        <v>153</v>
      </c>
      <c r="D7" s="238"/>
      <c r="E7" s="239"/>
      <c r="F7" s="237" t="s">
        <v>154</v>
      </c>
      <c r="G7" s="238"/>
      <c r="H7" s="239"/>
      <c r="I7" s="240" t="s">
        <v>155</v>
      </c>
      <c r="J7" s="241"/>
      <c r="K7" s="242"/>
      <c r="L7" s="240" t="s">
        <v>156</v>
      </c>
      <c r="M7" s="241"/>
      <c r="N7" s="242"/>
      <c r="O7" s="237" t="s">
        <v>157</v>
      </c>
      <c r="P7" s="238"/>
      <c r="Q7" s="239"/>
      <c r="R7" s="237" t="s">
        <v>158</v>
      </c>
      <c r="S7" s="238"/>
      <c r="T7" s="239"/>
      <c r="U7" s="237" t="s">
        <v>159</v>
      </c>
      <c r="V7" s="238"/>
      <c r="W7" s="239"/>
      <c r="X7" s="237" t="s">
        <v>160</v>
      </c>
      <c r="Y7" s="238"/>
      <c r="Z7" s="239"/>
      <c r="AA7" s="1"/>
      <c r="AC7" s="1"/>
      <c r="AD7" s="1"/>
      <c r="AF7" s="1"/>
    </row>
    <row r="8" spans="2:32" ht="54" customHeight="1" x14ac:dyDescent="0.35">
      <c r="B8" s="81"/>
      <c r="K8" s="76"/>
    </row>
    <row r="9" spans="2:32" ht="204" customHeight="1" x14ac:dyDescent="0.25">
      <c r="Z9" s="9" t="s">
        <v>41</v>
      </c>
    </row>
    <row r="10" spans="2:32" ht="204" customHeight="1" x14ac:dyDescent="0.25"/>
    <row r="11" spans="2:32" ht="204" customHeight="1" x14ac:dyDescent="0.25"/>
    <row r="12" spans="2:32" x14ac:dyDescent="0.25">
      <c r="J12" s="1" t="s">
        <v>42</v>
      </c>
    </row>
  </sheetData>
  <mergeCells count="25">
    <mergeCell ref="O6:Q6"/>
    <mergeCell ref="X4:Z4"/>
    <mergeCell ref="X6:Z6"/>
    <mergeCell ref="X7:Z7"/>
    <mergeCell ref="O4:Q4"/>
    <mergeCell ref="R4:T4"/>
    <mergeCell ref="O7:Q7"/>
    <mergeCell ref="R7:T7"/>
    <mergeCell ref="R6:T6"/>
    <mergeCell ref="U4:W4"/>
    <mergeCell ref="U6:W6"/>
    <mergeCell ref="U7:W7"/>
    <mergeCell ref="B4:B5"/>
    <mergeCell ref="C7:E7"/>
    <mergeCell ref="F7:H7"/>
    <mergeCell ref="I7:K7"/>
    <mergeCell ref="L7:N7"/>
    <mergeCell ref="C4:E4"/>
    <mergeCell ref="F4:H4"/>
    <mergeCell ref="I4:K4"/>
    <mergeCell ref="L4:N4"/>
    <mergeCell ref="C6:E6"/>
    <mergeCell ref="F6:H6"/>
    <mergeCell ref="I6:K6"/>
    <mergeCell ref="L6:N6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B1:Q36"/>
  <sheetViews>
    <sheetView zoomScale="90" zoomScaleNormal="90" workbookViewId="0">
      <selection activeCell="G36" sqref="G36:H36"/>
    </sheetView>
  </sheetViews>
  <sheetFormatPr defaultColWidth="9.140625" defaultRowHeight="15" x14ac:dyDescent="0.25"/>
  <cols>
    <col min="1" max="1" width="4.28515625" style="1" customWidth="1"/>
    <col min="2" max="2" width="55.85546875" style="1" customWidth="1"/>
    <col min="3" max="3" width="10.140625" style="1" bestFit="1" customWidth="1"/>
    <col min="4" max="4" width="3.28515625" style="1" bestFit="1" customWidth="1"/>
    <col min="5" max="5" width="2.5703125" style="1" customWidth="1"/>
    <col min="6" max="6" width="54" style="1" customWidth="1"/>
    <col min="7" max="7" width="10.140625" style="1" bestFit="1" customWidth="1"/>
    <col min="8" max="8" width="3.28515625" style="1" bestFit="1" customWidth="1"/>
    <col min="9" max="9" width="2.5703125" style="1" customWidth="1"/>
    <col min="10" max="10" width="55" style="1" customWidth="1"/>
    <col min="11" max="11" width="10.140625" style="1" bestFit="1" customWidth="1"/>
    <col min="12" max="12" width="3.28515625" style="1" bestFit="1" customWidth="1"/>
    <col min="13" max="13" width="4.7109375" style="1" customWidth="1"/>
    <col min="14" max="14" width="35.42578125" style="1" bestFit="1" customWidth="1"/>
    <col min="15" max="16384" width="9.140625" style="1"/>
  </cols>
  <sheetData>
    <row r="1" spans="2:14" ht="15.75" thickBot="1" x14ac:dyDescent="0.3"/>
    <row r="2" spans="2:14" ht="15" customHeight="1" x14ac:dyDescent="0.25">
      <c r="B2" s="259" t="str">
        <f>Lookups!C6</f>
        <v>Sprint 1</v>
      </c>
      <c r="C2" s="130" t="s">
        <v>43</v>
      </c>
      <c r="D2" s="131">
        <f>'Team Velocity'!C10</f>
        <v>36</v>
      </c>
      <c r="F2" s="259" t="str">
        <f>+Lookups!C7</f>
        <v>Sprint 2</v>
      </c>
      <c r="G2" s="130" t="s">
        <v>43</v>
      </c>
      <c r="H2" s="132">
        <f>'Team Velocity'!F10</f>
        <v>36</v>
      </c>
      <c r="J2" s="259" t="str">
        <f>Lookups!C8</f>
        <v>Sprint 3</v>
      </c>
      <c r="K2" s="130" t="s">
        <v>43</v>
      </c>
      <c r="L2" s="132">
        <f>'Team Velocity'!I10</f>
        <v>36</v>
      </c>
    </row>
    <row r="3" spans="2:14" x14ac:dyDescent="0.25">
      <c r="B3" s="260"/>
      <c r="C3" s="135" t="s">
        <v>44</v>
      </c>
      <c r="D3" s="136">
        <f>'Team Velocity'!D15</f>
        <v>36</v>
      </c>
      <c r="F3" s="260"/>
      <c r="G3" s="135" t="s">
        <v>44</v>
      </c>
      <c r="H3" s="136">
        <f>'Team Velocity'!G15</f>
        <v>36</v>
      </c>
      <c r="J3" s="260"/>
      <c r="K3" s="135" t="s">
        <v>44</v>
      </c>
      <c r="L3" s="136">
        <f>'Team Velocity'!J15</f>
        <v>36</v>
      </c>
    </row>
    <row r="4" spans="2:14" s="138" customFormat="1" ht="15" customHeight="1" thickBot="1" x14ac:dyDescent="0.3">
      <c r="B4" s="142"/>
      <c r="C4" s="271"/>
      <c r="D4" s="272"/>
      <c r="F4" s="142"/>
      <c r="G4" s="273"/>
      <c r="H4" s="274"/>
      <c r="J4" s="142"/>
      <c r="K4" s="261"/>
      <c r="L4" s="262"/>
      <c r="N4" s="10" t="s">
        <v>45</v>
      </c>
    </row>
    <row r="5" spans="2:14" s="140" customFormat="1" ht="15" customHeight="1" x14ac:dyDescent="0.25">
      <c r="B5" s="142"/>
      <c r="C5" s="271"/>
      <c r="D5" s="272"/>
      <c r="F5" s="142"/>
      <c r="G5" s="273"/>
      <c r="H5" s="274"/>
      <c r="J5" s="142"/>
      <c r="K5" s="261"/>
      <c r="L5" s="262"/>
      <c r="N5" s="141" t="s">
        <v>46</v>
      </c>
    </row>
    <row r="6" spans="2:14" s="140" customFormat="1" ht="15" customHeight="1" x14ac:dyDescent="0.25">
      <c r="B6" s="142"/>
      <c r="C6" s="271"/>
      <c r="D6" s="272"/>
      <c r="F6" s="142"/>
      <c r="G6" s="273"/>
      <c r="H6" s="274"/>
      <c r="J6" s="142"/>
      <c r="K6" s="261"/>
      <c r="L6" s="262"/>
      <c r="N6" s="137" t="s">
        <v>47</v>
      </c>
    </row>
    <row r="7" spans="2:14" s="140" customFormat="1" ht="15" customHeight="1" x14ac:dyDescent="0.25">
      <c r="B7" s="142"/>
      <c r="C7" s="279"/>
      <c r="D7" s="280"/>
      <c r="F7" s="142"/>
      <c r="G7" s="273"/>
      <c r="H7" s="274"/>
      <c r="J7" s="142"/>
      <c r="K7" s="277"/>
      <c r="L7" s="278"/>
      <c r="N7" s="143" t="s">
        <v>49</v>
      </c>
    </row>
    <row r="8" spans="2:14" s="140" customFormat="1" x14ac:dyDescent="0.25">
      <c r="B8" s="142"/>
      <c r="C8" s="279"/>
      <c r="D8" s="280"/>
      <c r="F8" s="142"/>
      <c r="G8" s="281"/>
      <c r="H8" s="282"/>
      <c r="J8" s="142"/>
      <c r="K8" s="277"/>
      <c r="L8" s="278"/>
      <c r="N8" s="144" t="s">
        <v>50</v>
      </c>
    </row>
    <row r="9" spans="2:14" s="140" customFormat="1" ht="15" customHeight="1" thickBot="1" x14ac:dyDescent="0.3">
      <c r="B9" s="142"/>
      <c r="C9" s="279"/>
      <c r="D9" s="280"/>
      <c r="F9" s="145"/>
      <c r="G9" s="281"/>
      <c r="H9" s="282"/>
      <c r="J9" s="145"/>
      <c r="K9" s="277"/>
      <c r="L9" s="278"/>
      <c r="N9" s="146" t="s">
        <v>51</v>
      </c>
    </row>
    <row r="10" spans="2:14" s="140" customFormat="1" ht="15" customHeight="1" thickBot="1" x14ac:dyDescent="0.3">
      <c r="B10" s="108"/>
      <c r="C10" s="257"/>
      <c r="D10" s="258"/>
      <c r="F10" s="145"/>
      <c r="G10" s="277"/>
      <c r="H10" s="278"/>
      <c r="J10" s="145"/>
      <c r="K10" s="277"/>
      <c r="L10" s="278"/>
      <c r="N10" s="106" t="s">
        <v>52</v>
      </c>
    </row>
    <row r="11" spans="2:14" s="140" customFormat="1" ht="15" customHeight="1" thickBot="1" x14ac:dyDescent="0.3">
      <c r="B11" s="147" t="s">
        <v>161</v>
      </c>
      <c r="C11" s="267">
        <v>2</v>
      </c>
      <c r="D11" s="268"/>
      <c r="F11" s="147" t="s">
        <v>161</v>
      </c>
      <c r="G11" s="263">
        <v>2</v>
      </c>
      <c r="H11" s="264"/>
      <c r="J11" s="147" t="s">
        <v>161</v>
      </c>
      <c r="K11" s="263">
        <v>2</v>
      </c>
      <c r="L11" s="264"/>
      <c r="N11" s="1"/>
    </row>
    <row r="12" spans="2:14" s="140" customFormat="1" ht="15.75" thickBot="1" x14ac:dyDescent="0.3">
      <c r="B12" s="64" t="s">
        <v>53</v>
      </c>
      <c r="C12" s="269"/>
      <c r="D12" s="270"/>
      <c r="F12" s="1"/>
      <c r="G12" s="255"/>
      <c r="H12" s="256"/>
      <c r="J12" s="148"/>
      <c r="K12" s="255"/>
      <c r="L12" s="256"/>
      <c r="N12" s="1"/>
    </row>
    <row r="13" spans="2:14" s="140" customFormat="1" ht="15.75" thickBot="1" x14ac:dyDescent="0.3">
      <c r="B13" s="1"/>
      <c r="C13" s="148"/>
      <c r="D13" s="2"/>
      <c r="F13" s="1"/>
      <c r="G13" s="1"/>
      <c r="H13" s="1"/>
      <c r="J13" s="148"/>
      <c r="K13" s="148"/>
      <c r="L13" s="148"/>
      <c r="N13" s="1"/>
    </row>
    <row r="14" spans="2:14" s="140" customFormat="1" ht="15" customHeight="1" x14ac:dyDescent="0.25">
      <c r="B14" s="259" t="str">
        <f>Lookups!C9</f>
        <v>Sprint 4</v>
      </c>
      <c r="C14" s="130" t="s">
        <v>43</v>
      </c>
      <c r="D14" s="132">
        <f>'Team Velocity'!L10</f>
        <v>36</v>
      </c>
      <c r="F14" s="259" t="str">
        <f>Lookups!C10</f>
        <v>Sprint 5</v>
      </c>
      <c r="G14" s="130" t="s">
        <v>43</v>
      </c>
      <c r="H14" s="132">
        <f>'Team Velocity'!O10</f>
        <v>36</v>
      </c>
      <c r="J14" s="259" t="str">
        <f>Lookups!C11</f>
        <v>Sprint 6</v>
      </c>
      <c r="K14" s="130" t="s">
        <v>43</v>
      </c>
      <c r="L14" s="132">
        <f>'Team Velocity'!R10</f>
        <v>36</v>
      </c>
      <c r="N14" s="1"/>
    </row>
    <row r="15" spans="2:14" x14ac:dyDescent="0.25">
      <c r="B15" s="260"/>
      <c r="C15" s="135" t="s">
        <v>44</v>
      </c>
      <c r="D15" s="136">
        <f>'Team Velocity'!M15</f>
        <v>36</v>
      </c>
      <c r="F15" s="260"/>
      <c r="G15" s="135" t="s">
        <v>44</v>
      </c>
      <c r="H15" s="136">
        <f>'Team Velocity'!P15</f>
        <v>36</v>
      </c>
      <c r="J15" s="260"/>
      <c r="K15" s="135" t="s">
        <v>44</v>
      </c>
      <c r="L15" s="136">
        <f>'Team Velocity'!S15</f>
        <v>36</v>
      </c>
    </row>
    <row r="16" spans="2:14" x14ac:dyDescent="0.25">
      <c r="B16" s="142"/>
      <c r="C16" s="261"/>
      <c r="D16" s="262"/>
      <c r="F16" s="142"/>
      <c r="G16" s="261"/>
      <c r="H16" s="262"/>
      <c r="J16" s="142"/>
      <c r="K16" s="261"/>
      <c r="L16" s="262"/>
      <c r="N16" s="102"/>
    </row>
    <row r="17" spans="2:17" x14ac:dyDescent="0.25">
      <c r="B17" s="142"/>
      <c r="C17" s="261"/>
      <c r="D17" s="262"/>
      <c r="F17" s="142"/>
      <c r="G17" s="261"/>
      <c r="H17" s="262"/>
      <c r="J17" s="142"/>
      <c r="K17" s="261"/>
      <c r="L17" s="262"/>
      <c r="N17" s="102"/>
    </row>
    <row r="18" spans="2:17" x14ac:dyDescent="0.25">
      <c r="B18" s="142"/>
      <c r="C18" s="261"/>
      <c r="D18" s="262"/>
      <c r="F18" s="142"/>
      <c r="G18" s="261"/>
      <c r="H18" s="262"/>
      <c r="J18" s="142"/>
      <c r="K18" s="261"/>
      <c r="L18" s="262"/>
    </row>
    <row r="19" spans="2:17" ht="15.75" customHeight="1" x14ac:dyDescent="0.25">
      <c r="B19" s="142"/>
      <c r="C19" s="261"/>
      <c r="D19" s="262"/>
      <c r="F19" s="142"/>
      <c r="G19" s="261"/>
      <c r="H19" s="262"/>
      <c r="J19" s="142"/>
      <c r="K19" s="261"/>
      <c r="L19" s="262"/>
      <c r="N19" s="103"/>
    </row>
    <row r="20" spans="2:17" ht="15" customHeight="1" x14ac:dyDescent="0.25">
      <c r="B20" s="142"/>
      <c r="C20" s="261"/>
      <c r="D20" s="262"/>
      <c r="F20" s="149"/>
      <c r="G20" s="261"/>
      <c r="H20" s="262"/>
      <c r="J20" s="150"/>
      <c r="K20" s="261"/>
      <c r="L20" s="262"/>
      <c r="N20" s="107"/>
    </row>
    <row r="21" spans="2:17" ht="15" customHeight="1" x14ac:dyDescent="0.25">
      <c r="B21" s="142"/>
      <c r="C21" s="275"/>
      <c r="D21" s="276"/>
      <c r="F21" s="149"/>
      <c r="G21" s="261"/>
      <c r="H21" s="262"/>
      <c r="J21" s="150"/>
      <c r="K21" s="261"/>
      <c r="L21" s="262"/>
    </row>
    <row r="22" spans="2:17" ht="15" customHeight="1" x14ac:dyDescent="0.25">
      <c r="B22" s="151"/>
      <c r="C22" s="261"/>
      <c r="D22" s="262"/>
      <c r="F22" s="149"/>
      <c r="G22" s="261"/>
      <c r="H22" s="262"/>
      <c r="J22" s="152"/>
      <c r="K22" s="275"/>
      <c r="L22" s="276"/>
      <c r="M22" s="78"/>
      <c r="N22" s="107"/>
    </row>
    <row r="23" spans="2:17" ht="15" customHeight="1" x14ac:dyDescent="0.25">
      <c r="B23" s="108"/>
      <c r="C23" s="288"/>
      <c r="D23" s="289"/>
      <c r="F23" s="149"/>
      <c r="G23" s="261"/>
      <c r="H23" s="262"/>
      <c r="J23" s="153"/>
      <c r="K23" s="265"/>
      <c r="L23" s="266"/>
      <c r="M23" s="103"/>
      <c r="N23" s="107"/>
    </row>
    <row r="24" spans="2:17" ht="15" customHeight="1" thickBot="1" x14ac:dyDescent="0.3">
      <c r="B24" s="147" t="s">
        <v>161</v>
      </c>
      <c r="C24" s="284">
        <v>2</v>
      </c>
      <c r="D24" s="285"/>
      <c r="F24" s="147" t="s">
        <v>161</v>
      </c>
      <c r="G24" s="290">
        <v>2</v>
      </c>
      <c r="H24" s="291"/>
      <c r="J24" s="147" t="s">
        <v>161</v>
      </c>
      <c r="K24" s="263">
        <v>2</v>
      </c>
      <c r="L24" s="264"/>
      <c r="M24" s="102"/>
    </row>
    <row r="25" spans="2:17" ht="15.75" thickBot="1" x14ac:dyDescent="0.3">
      <c r="C25" s="292"/>
      <c r="D25" s="293"/>
      <c r="G25" s="255"/>
      <c r="H25" s="256"/>
      <c r="K25" s="255"/>
      <c r="L25" s="256"/>
      <c r="M25" s="102"/>
    </row>
    <row r="26" spans="2:17" ht="15.75" thickBot="1" x14ac:dyDescent="0.3"/>
    <row r="27" spans="2:17" ht="15" customHeight="1" thickBot="1" x14ac:dyDescent="0.3">
      <c r="B27" s="259" t="str">
        <f>Lookups!C12</f>
        <v>Sprint 7</v>
      </c>
      <c r="C27" s="130" t="s">
        <v>43</v>
      </c>
      <c r="D27" s="132">
        <f>'Team Velocity'!U10</f>
        <v>36</v>
      </c>
      <c r="F27" s="259" t="s">
        <v>126</v>
      </c>
      <c r="G27" s="130" t="s">
        <v>43</v>
      </c>
      <c r="H27" s="132">
        <f>'Team Velocity'!X10</f>
        <v>18</v>
      </c>
    </row>
    <row r="28" spans="2:17" x14ac:dyDescent="0.25">
      <c r="B28" s="260"/>
      <c r="C28" s="135" t="s">
        <v>44</v>
      </c>
      <c r="D28" s="136">
        <f>'Team Velocity'!V15</f>
        <v>36</v>
      </c>
      <c r="F28" s="260"/>
      <c r="G28" s="135" t="s">
        <v>44</v>
      </c>
      <c r="H28" s="131">
        <f>'Team Velocity'!Y15</f>
        <v>18</v>
      </c>
    </row>
    <row r="29" spans="2:17" ht="15" customHeight="1" x14ac:dyDescent="0.25">
      <c r="B29" s="142"/>
      <c r="C29" s="275"/>
      <c r="D29" s="276"/>
      <c r="F29" s="154"/>
      <c r="G29" s="275"/>
      <c r="H29" s="276"/>
      <c r="Q29" s="103"/>
    </row>
    <row r="30" spans="2:17" ht="15.75" customHeight="1" x14ac:dyDescent="0.25">
      <c r="B30" s="142"/>
      <c r="C30" s="275"/>
      <c r="D30" s="276"/>
      <c r="F30" s="154"/>
      <c r="G30" s="273"/>
      <c r="H30" s="274"/>
      <c r="M30" s="78"/>
    </row>
    <row r="31" spans="2:17" ht="15" customHeight="1" x14ac:dyDescent="0.25">
      <c r="B31" s="142"/>
      <c r="C31" s="275"/>
      <c r="D31" s="276"/>
      <c r="F31" s="154"/>
      <c r="G31" s="294"/>
      <c r="H31" s="295"/>
      <c r="Q31" s="102"/>
    </row>
    <row r="32" spans="2:17" ht="15" customHeight="1" x14ac:dyDescent="0.25">
      <c r="B32" s="142"/>
      <c r="C32" s="275"/>
      <c r="D32" s="276"/>
      <c r="F32" s="154"/>
      <c r="G32" s="294"/>
      <c r="H32" s="295"/>
    </row>
    <row r="33" spans="2:8" ht="15" customHeight="1" x14ac:dyDescent="0.25">
      <c r="B33" s="142"/>
      <c r="C33" s="275"/>
      <c r="D33" s="276"/>
      <c r="F33" s="154"/>
      <c r="G33" s="294"/>
      <c r="H33" s="295"/>
    </row>
    <row r="34" spans="2:8" ht="15.75" customHeight="1" x14ac:dyDescent="0.25">
      <c r="B34" s="142"/>
      <c r="C34" s="275"/>
      <c r="D34" s="276"/>
      <c r="F34" s="153"/>
      <c r="G34" s="273"/>
      <c r="H34" s="274"/>
    </row>
    <row r="35" spans="2:8" ht="15" customHeight="1" thickBot="1" x14ac:dyDescent="0.3">
      <c r="B35" s="147" t="s">
        <v>161</v>
      </c>
      <c r="C35" s="286">
        <v>2</v>
      </c>
      <c r="D35" s="287"/>
      <c r="F35" s="147" t="s">
        <v>161</v>
      </c>
      <c r="G35" s="286">
        <v>2</v>
      </c>
      <c r="H35" s="287"/>
    </row>
    <row r="36" spans="2:8" x14ac:dyDescent="0.25">
      <c r="C36" s="283"/>
      <c r="D36" s="283"/>
      <c r="G36" s="283"/>
      <c r="H36" s="283"/>
    </row>
  </sheetData>
  <mergeCells count="81">
    <mergeCell ref="G35:H35"/>
    <mergeCell ref="G36:H36"/>
    <mergeCell ref="G30:H30"/>
    <mergeCell ref="G31:H31"/>
    <mergeCell ref="G32:H32"/>
    <mergeCell ref="G33:H33"/>
    <mergeCell ref="G34:H34"/>
    <mergeCell ref="G23:H23"/>
    <mergeCell ref="G21:H21"/>
    <mergeCell ref="C22:D22"/>
    <mergeCell ref="C23:D23"/>
    <mergeCell ref="G29:H29"/>
    <mergeCell ref="F27:F28"/>
    <mergeCell ref="G24:H24"/>
    <mergeCell ref="C25:D25"/>
    <mergeCell ref="C21:D21"/>
    <mergeCell ref="G22:H22"/>
    <mergeCell ref="C20:D20"/>
    <mergeCell ref="C31:D31"/>
    <mergeCell ref="C16:D16"/>
    <mergeCell ref="C17:D17"/>
    <mergeCell ref="C36:D36"/>
    <mergeCell ref="C24:D24"/>
    <mergeCell ref="C35:D35"/>
    <mergeCell ref="C32:D32"/>
    <mergeCell ref="C33:D33"/>
    <mergeCell ref="C34:D34"/>
    <mergeCell ref="C30:D30"/>
    <mergeCell ref="C29:D29"/>
    <mergeCell ref="C7:D7"/>
    <mergeCell ref="K9:L9"/>
    <mergeCell ref="C8:D8"/>
    <mergeCell ref="G8:H8"/>
    <mergeCell ref="C9:D9"/>
    <mergeCell ref="G9:H9"/>
    <mergeCell ref="K8:L8"/>
    <mergeCell ref="K22:L22"/>
    <mergeCell ref="G16:H16"/>
    <mergeCell ref="K12:L12"/>
    <mergeCell ref="G7:H7"/>
    <mergeCell ref="K7:L7"/>
    <mergeCell ref="G10:H10"/>
    <mergeCell ref="K10:L10"/>
    <mergeCell ref="K11:L11"/>
    <mergeCell ref="G19:H19"/>
    <mergeCell ref="G17:H17"/>
    <mergeCell ref="K6:L6"/>
    <mergeCell ref="C5:D5"/>
    <mergeCell ref="K4:L4"/>
    <mergeCell ref="C6:D6"/>
    <mergeCell ref="G6:H6"/>
    <mergeCell ref="K5:L5"/>
    <mergeCell ref="G5:H5"/>
    <mergeCell ref="B2:B3"/>
    <mergeCell ref="F2:F3"/>
    <mergeCell ref="J2:J3"/>
    <mergeCell ref="C4:D4"/>
    <mergeCell ref="G4:H4"/>
    <mergeCell ref="B14:B15"/>
    <mergeCell ref="F14:F15"/>
    <mergeCell ref="J14:J15"/>
    <mergeCell ref="C11:D11"/>
    <mergeCell ref="G11:H11"/>
    <mergeCell ref="G12:H12"/>
    <mergeCell ref="C12:D12"/>
    <mergeCell ref="K25:L25"/>
    <mergeCell ref="C10:D10"/>
    <mergeCell ref="B27:B28"/>
    <mergeCell ref="K16:L16"/>
    <mergeCell ref="C18:D18"/>
    <mergeCell ref="K18:L18"/>
    <mergeCell ref="C19:D19"/>
    <mergeCell ref="G20:H20"/>
    <mergeCell ref="K19:L19"/>
    <mergeCell ref="G18:H18"/>
    <mergeCell ref="K24:L24"/>
    <mergeCell ref="K20:L20"/>
    <mergeCell ref="K21:L21"/>
    <mergeCell ref="G25:H25"/>
    <mergeCell ref="K17:L17"/>
    <mergeCell ref="K23:L23"/>
  </mergeCells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</sheetPr>
  <dimension ref="B2:F22"/>
  <sheetViews>
    <sheetView zoomScale="90" zoomScaleNormal="90" workbookViewId="0">
      <selection activeCell="C18" sqref="C18:F19"/>
    </sheetView>
  </sheetViews>
  <sheetFormatPr defaultColWidth="9.140625" defaultRowHeight="15.75" x14ac:dyDescent="0.25"/>
  <cols>
    <col min="1" max="1" width="3" style="157" customWidth="1"/>
    <col min="2" max="2" width="3.28515625" style="173" bestFit="1" customWidth="1"/>
    <col min="3" max="3" width="19" style="174" bestFit="1" customWidth="1"/>
    <col min="4" max="4" width="114.140625" style="157" bestFit="1" customWidth="1"/>
    <col min="5" max="5" width="44.7109375" style="173" customWidth="1"/>
    <col min="6" max="6" width="19.140625" style="157" bestFit="1" customWidth="1"/>
    <col min="7" max="16384" width="9.140625" style="157"/>
  </cols>
  <sheetData>
    <row r="2" spans="2:6" ht="28.5" customHeight="1" x14ac:dyDescent="0.25">
      <c r="B2" s="296" t="s">
        <v>55</v>
      </c>
      <c r="C2" s="296"/>
      <c r="D2" s="296"/>
      <c r="E2" s="296"/>
      <c r="F2" s="296"/>
    </row>
    <row r="3" spans="2:6" s="159" customFormat="1" x14ac:dyDescent="0.25">
      <c r="B3" s="158" t="s">
        <v>56</v>
      </c>
      <c r="C3" s="158" t="s">
        <v>57</v>
      </c>
      <c r="D3" s="158" t="s">
        <v>58</v>
      </c>
      <c r="E3" s="158" t="s">
        <v>59</v>
      </c>
      <c r="F3" s="158" t="s">
        <v>60</v>
      </c>
    </row>
    <row r="4" spans="2:6" s="160" customFormat="1" x14ac:dyDescent="0.25">
      <c r="B4" s="71">
        <v>1</v>
      </c>
      <c r="C4" s="71"/>
      <c r="D4" s="72"/>
      <c r="E4" s="72"/>
      <c r="F4" s="72"/>
    </row>
    <row r="5" spans="2:6" s="160" customFormat="1" x14ac:dyDescent="0.25">
      <c r="B5" s="71">
        <v>2</v>
      </c>
      <c r="C5" s="71"/>
      <c r="D5" s="72"/>
      <c r="E5" s="72"/>
      <c r="F5" s="72"/>
    </row>
    <row r="6" spans="2:6" s="160" customFormat="1" x14ac:dyDescent="0.25">
      <c r="B6" s="71">
        <v>3</v>
      </c>
      <c r="C6" s="71"/>
      <c r="D6" s="72"/>
      <c r="E6" s="77"/>
      <c r="F6" s="72"/>
    </row>
    <row r="7" spans="2:6" s="160" customFormat="1" ht="15.75" customHeight="1" x14ac:dyDescent="0.25">
      <c r="B7" s="71">
        <v>4</v>
      </c>
      <c r="C7" s="71"/>
      <c r="D7" s="72"/>
      <c r="E7" s="72"/>
      <c r="F7" s="72"/>
    </row>
    <row r="8" spans="2:6" s="160" customFormat="1" x14ac:dyDescent="0.25">
      <c r="B8" s="71">
        <v>5</v>
      </c>
      <c r="C8" s="71"/>
      <c r="D8" s="72"/>
      <c r="E8" s="77"/>
      <c r="F8" s="72"/>
    </row>
    <row r="9" spans="2:6" s="160" customFormat="1" x14ac:dyDescent="0.25">
      <c r="B9" s="71">
        <v>6</v>
      </c>
      <c r="C9" s="71"/>
      <c r="D9" s="72"/>
      <c r="E9" s="77"/>
      <c r="F9" s="72"/>
    </row>
    <row r="10" spans="2:6" s="160" customFormat="1" x14ac:dyDescent="0.25">
      <c r="B10" s="71">
        <v>7</v>
      </c>
      <c r="C10" s="71"/>
      <c r="D10" s="72"/>
      <c r="E10" s="77"/>
      <c r="F10" s="72"/>
    </row>
    <row r="11" spans="2:6" s="160" customFormat="1" x14ac:dyDescent="0.25">
      <c r="B11" s="71">
        <v>8</v>
      </c>
      <c r="C11" s="71"/>
      <c r="D11" s="72"/>
      <c r="E11" s="72"/>
      <c r="F11" s="72"/>
    </row>
    <row r="12" spans="2:6" s="160" customFormat="1" x14ac:dyDescent="0.25">
      <c r="B12" s="71">
        <v>9</v>
      </c>
      <c r="C12" s="71"/>
      <c r="D12" s="72"/>
      <c r="E12" s="72"/>
      <c r="F12" s="72"/>
    </row>
    <row r="13" spans="2:6" s="160" customFormat="1" x14ac:dyDescent="0.25">
      <c r="B13" s="71">
        <v>10</v>
      </c>
      <c r="C13" s="71"/>
      <c r="D13" s="72"/>
      <c r="E13" s="77"/>
      <c r="F13" s="72"/>
    </row>
    <row r="14" spans="2:6" s="160" customFormat="1" x14ac:dyDescent="0.25">
      <c r="B14" s="116"/>
      <c r="C14" s="116"/>
      <c r="D14" s="120"/>
      <c r="E14" s="121"/>
      <c r="F14" s="120"/>
    </row>
    <row r="15" spans="2:6" s="160" customFormat="1" x14ac:dyDescent="0.25">
      <c r="B15" s="116"/>
      <c r="C15" s="161"/>
      <c r="E15" s="116"/>
    </row>
    <row r="16" spans="2:6" s="160" customFormat="1" ht="27.75" customHeight="1" x14ac:dyDescent="0.25">
      <c r="B16" s="297" t="s">
        <v>61</v>
      </c>
      <c r="C16" s="297"/>
      <c r="D16" s="297"/>
      <c r="E16" s="297"/>
      <c r="F16" s="297"/>
    </row>
    <row r="17" spans="2:6" x14ac:dyDescent="0.25">
      <c r="B17" s="162" t="s">
        <v>56</v>
      </c>
      <c r="C17" s="162" t="s">
        <v>62</v>
      </c>
      <c r="D17" s="163" t="s">
        <v>63</v>
      </c>
      <c r="E17" s="162" t="s">
        <v>64</v>
      </c>
      <c r="F17" s="162" t="s">
        <v>65</v>
      </c>
    </row>
    <row r="18" spans="2:6" s="168" customFormat="1" x14ac:dyDescent="0.25">
      <c r="B18" s="164">
        <v>1</v>
      </c>
      <c r="C18" s="165"/>
      <c r="D18" s="77"/>
      <c r="E18" s="166"/>
      <c r="F18" s="167"/>
    </row>
    <row r="19" spans="2:6" ht="15.75" customHeight="1" x14ac:dyDescent="0.25">
      <c r="B19" s="71">
        <v>2</v>
      </c>
      <c r="C19" s="71"/>
      <c r="D19" s="77"/>
      <c r="E19" s="169"/>
      <c r="F19" s="170"/>
    </row>
    <row r="20" spans="2:6" x14ac:dyDescent="0.25">
      <c r="B20" s="71">
        <v>3</v>
      </c>
      <c r="C20" s="171"/>
      <c r="D20" s="77"/>
      <c r="E20" s="169"/>
      <c r="F20" s="170"/>
    </row>
    <row r="21" spans="2:6" x14ac:dyDescent="0.25">
      <c r="B21" s="71">
        <v>4</v>
      </c>
      <c r="C21" s="171"/>
      <c r="D21" s="77"/>
      <c r="E21" s="172"/>
      <c r="F21" s="170"/>
    </row>
    <row r="22" spans="2:6" x14ac:dyDescent="0.25">
      <c r="B22" s="71">
        <v>5</v>
      </c>
      <c r="C22" s="171"/>
      <c r="D22" s="77"/>
      <c r="E22" s="172"/>
      <c r="F22" s="170"/>
    </row>
  </sheetData>
  <mergeCells count="2">
    <mergeCell ref="B2:F2"/>
    <mergeCell ref="B16:F16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I39"/>
  <sheetViews>
    <sheetView zoomScale="85" zoomScaleNormal="85" workbookViewId="0">
      <selection activeCell="B2" sqref="B2:D2"/>
    </sheetView>
  </sheetViews>
  <sheetFormatPr defaultColWidth="9.140625" defaultRowHeight="15" x14ac:dyDescent="0.25"/>
  <cols>
    <col min="1" max="1" width="4.28515625" style="1" customWidth="1"/>
    <col min="2" max="2" width="11" style="1" customWidth="1"/>
    <col min="3" max="3" width="1.7109375" style="1" customWidth="1"/>
    <col min="4" max="4" width="40.85546875" style="1" customWidth="1"/>
    <col min="5" max="6" width="4" style="2" customWidth="1"/>
    <col min="7" max="8" width="4.140625" style="2" bestFit="1" customWidth="1"/>
    <col min="9" max="9" width="10.140625" style="2" bestFit="1" customWidth="1"/>
    <col min="10" max="10" width="3.140625" style="2" bestFit="1" customWidth="1"/>
    <col min="11" max="11" width="2.85546875" style="1" customWidth="1"/>
    <col min="12" max="12" width="14" style="129" customWidth="1"/>
    <col min="13" max="13" width="1.7109375" style="129" customWidth="1"/>
    <col min="14" max="14" width="37" style="129" customWidth="1"/>
    <col min="15" max="15" width="4" style="2" customWidth="1"/>
    <col min="16" max="16" width="4.140625" style="2" bestFit="1" customWidth="1"/>
    <col min="17" max="17" width="4" style="2" customWidth="1"/>
    <col min="18" max="18" width="4.140625" style="2" bestFit="1" customWidth="1"/>
    <col min="19" max="19" width="10.140625" style="2" bestFit="1" customWidth="1"/>
    <col min="20" max="20" width="3.140625" style="2" bestFit="1" customWidth="1"/>
    <col min="21" max="21" width="2.5703125" style="1" customWidth="1"/>
    <col min="22" max="22" width="14.140625" style="1" customWidth="1"/>
    <col min="23" max="23" width="1.85546875" style="1" customWidth="1"/>
    <col min="24" max="24" width="38" style="1" customWidth="1"/>
    <col min="25" max="25" width="4.28515625" style="2" customWidth="1"/>
    <col min="26" max="26" width="3.85546875" style="2" customWidth="1"/>
    <col min="27" max="28" width="4.140625" style="2" bestFit="1" customWidth="1"/>
    <col min="29" max="29" width="10.140625" style="2" bestFit="1" customWidth="1"/>
    <col min="30" max="30" width="3.140625" style="2" bestFit="1" customWidth="1"/>
    <col min="31" max="31" width="4.7109375" style="1" customWidth="1"/>
    <col min="32" max="32" width="35.42578125" style="1" customWidth="1"/>
    <col min="33" max="16384" width="9.140625" style="1"/>
  </cols>
  <sheetData>
    <row r="1" spans="1:32" ht="15.75" thickBot="1" x14ac:dyDescent="0.3"/>
    <row r="2" spans="1:32" ht="15" customHeight="1" x14ac:dyDescent="0.25">
      <c r="B2" s="313" t="str">
        <f>Lookups!C6</f>
        <v>Sprint 1</v>
      </c>
      <c r="C2" s="314"/>
      <c r="D2" s="315"/>
      <c r="E2" s="320" t="s">
        <v>66</v>
      </c>
      <c r="F2" s="320"/>
      <c r="G2" s="321" t="s">
        <v>14</v>
      </c>
      <c r="H2" s="321"/>
      <c r="I2" s="175" t="s">
        <v>43</v>
      </c>
      <c r="J2" s="131">
        <f>'Team Velocity'!C10</f>
        <v>36</v>
      </c>
      <c r="L2" s="326" t="str">
        <f>+Lookups!C7</f>
        <v>Sprint 2</v>
      </c>
      <c r="M2" s="327"/>
      <c r="N2" s="328"/>
      <c r="O2" s="320" t="s">
        <v>66</v>
      </c>
      <c r="P2" s="320"/>
      <c r="Q2" s="321" t="s">
        <v>14</v>
      </c>
      <c r="R2" s="321"/>
      <c r="S2" s="175" t="s">
        <v>43</v>
      </c>
      <c r="T2" s="132">
        <f>'Team Velocity'!F10</f>
        <v>36</v>
      </c>
      <c r="V2" s="313" t="str">
        <f>Lookups!C8</f>
        <v>Sprint 3</v>
      </c>
      <c r="W2" s="314"/>
      <c r="X2" s="315"/>
      <c r="Y2" s="320" t="s">
        <v>66</v>
      </c>
      <c r="Z2" s="320"/>
      <c r="AA2" s="321" t="s">
        <v>14</v>
      </c>
      <c r="AB2" s="321"/>
      <c r="AC2" s="175" t="s">
        <v>43</v>
      </c>
      <c r="AD2" s="132">
        <f>'Team Velocity'!I10</f>
        <v>36</v>
      </c>
    </row>
    <row r="3" spans="1:32" x14ac:dyDescent="0.25">
      <c r="A3" s="198"/>
      <c r="B3" s="197">
        <f>Lookups!D6</f>
        <v>42752</v>
      </c>
      <c r="C3" s="191" t="s">
        <v>24</v>
      </c>
      <c r="D3" s="192">
        <f>Lookups!E6</f>
        <v>42765</v>
      </c>
      <c r="E3" s="133" t="s">
        <v>67</v>
      </c>
      <c r="F3" s="133" t="s">
        <v>68</v>
      </c>
      <c r="G3" s="134" t="s">
        <v>69</v>
      </c>
      <c r="H3" s="134" t="s">
        <v>70</v>
      </c>
      <c r="I3" s="176" t="s">
        <v>44</v>
      </c>
      <c r="J3" s="136">
        <f>'Team Velocity'!D15</f>
        <v>36</v>
      </c>
      <c r="L3" s="195">
        <f>Lookups!D7</f>
        <v>42766</v>
      </c>
      <c r="M3" s="191" t="s">
        <v>24</v>
      </c>
      <c r="N3" s="196">
        <f>Lookups!E7</f>
        <v>42779</v>
      </c>
      <c r="O3" s="133" t="s">
        <v>67</v>
      </c>
      <c r="P3" s="133" t="s">
        <v>68</v>
      </c>
      <c r="Q3" s="134" t="s">
        <v>69</v>
      </c>
      <c r="R3" s="134" t="s">
        <v>70</v>
      </c>
      <c r="S3" s="176" t="s">
        <v>44</v>
      </c>
      <c r="T3" s="136">
        <f>'Team Velocity'!G15</f>
        <v>36</v>
      </c>
      <c r="V3" s="193">
        <f>Lookups!D8</f>
        <v>42780</v>
      </c>
      <c r="W3" s="191" t="s">
        <v>24</v>
      </c>
      <c r="X3" s="194">
        <f>Lookups!E8</f>
        <v>42793</v>
      </c>
      <c r="Y3" s="133" t="s">
        <v>67</v>
      </c>
      <c r="Z3" s="133" t="s">
        <v>68</v>
      </c>
      <c r="AA3" s="134" t="s">
        <v>69</v>
      </c>
      <c r="AB3" s="134" t="s">
        <v>70</v>
      </c>
      <c r="AC3" s="176" t="s">
        <v>44</v>
      </c>
      <c r="AD3" s="136">
        <f>'Team Velocity'!J15</f>
        <v>36</v>
      </c>
    </row>
    <row r="4" spans="1:32" s="138" customFormat="1" ht="15" customHeight="1" thickBot="1" x14ac:dyDescent="0.3">
      <c r="B4" s="305"/>
      <c r="C4" s="306"/>
      <c r="D4" s="307"/>
      <c r="E4" s="177"/>
      <c r="F4" s="177"/>
      <c r="G4" s="139"/>
      <c r="H4" s="139"/>
      <c r="I4" s="308">
        <f>SUM(E4:H4)</f>
        <v>0</v>
      </c>
      <c r="J4" s="309"/>
      <c r="L4" s="329"/>
      <c r="M4" s="330"/>
      <c r="N4" s="331"/>
      <c r="O4" s="177"/>
      <c r="P4" s="177"/>
      <c r="Q4" s="139"/>
      <c r="R4" s="139"/>
      <c r="S4" s="273">
        <f>SUM(O4:R4)</f>
        <v>0</v>
      </c>
      <c r="T4" s="274"/>
      <c r="V4" s="207"/>
      <c r="W4" s="208"/>
      <c r="X4" s="209"/>
      <c r="Y4" s="177"/>
      <c r="Z4" s="177"/>
      <c r="AA4" s="139"/>
      <c r="AB4" s="139"/>
      <c r="AC4" s="261">
        <f>SUM(Y4:AB4)</f>
        <v>0</v>
      </c>
      <c r="AD4" s="262"/>
      <c r="AF4" s="10" t="s">
        <v>45</v>
      </c>
    </row>
    <row r="5" spans="1:32" s="140" customFormat="1" ht="15.75" customHeight="1" x14ac:dyDescent="0.25">
      <c r="B5" s="305"/>
      <c r="C5" s="306"/>
      <c r="D5" s="307"/>
      <c r="E5" s="177"/>
      <c r="F5" s="177"/>
      <c r="G5" s="139"/>
      <c r="H5" s="139"/>
      <c r="I5" s="308">
        <f>SUM(E5:H5)</f>
        <v>0</v>
      </c>
      <c r="J5" s="309"/>
      <c r="L5" s="329"/>
      <c r="M5" s="330"/>
      <c r="N5" s="331"/>
      <c r="O5" s="177"/>
      <c r="P5" s="177"/>
      <c r="Q5" s="139"/>
      <c r="R5" s="139"/>
      <c r="S5" s="273">
        <f>SUM(O5:R5)</f>
        <v>0</v>
      </c>
      <c r="T5" s="274"/>
      <c r="V5" s="207"/>
      <c r="W5" s="208"/>
      <c r="X5" s="209"/>
      <c r="Y5" s="178"/>
      <c r="Z5" s="178"/>
      <c r="AA5" s="179"/>
      <c r="AB5" s="179"/>
      <c r="AC5" s="281">
        <f>SUM(Y5:AB5)</f>
        <v>0</v>
      </c>
      <c r="AD5" s="282"/>
      <c r="AF5" s="141" t="s">
        <v>46</v>
      </c>
    </row>
    <row r="6" spans="1:32" s="140" customFormat="1" ht="15" customHeight="1" x14ac:dyDescent="0.25">
      <c r="B6" s="305"/>
      <c r="C6" s="306"/>
      <c r="D6" s="307"/>
      <c r="E6" s="178"/>
      <c r="F6" s="178"/>
      <c r="G6" s="179"/>
      <c r="H6" s="179"/>
      <c r="I6" s="308">
        <f t="shared" ref="I6:I10" si="0">SUM(E6:H6)</f>
        <v>0</v>
      </c>
      <c r="J6" s="309"/>
      <c r="L6" s="329"/>
      <c r="M6" s="330"/>
      <c r="N6" s="331"/>
      <c r="O6" s="178"/>
      <c r="P6" s="178"/>
      <c r="Q6" s="179"/>
      <c r="R6" s="179"/>
      <c r="S6" s="273">
        <f>SUM(O6:R6)</f>
        <v>0</v>
      </c>
      <c r="T6" s="274"/>
      <c r="V6" s="207"/>
      <c r="W6" s="208"/>
      <c r="X6" s="209"/>
      <c r="Y6" s="177"/>
      <c r="Z6" s="177"/>
      <c r="AA6" s="139"/>
      <c r="AB6" s="139"/>
      <c r="AC6" s="261">
        <f>SUM(Y6:AB6)</f>
        <v>0</v>
      </c>
      <c r="AD6" s="262"/>
      <c r="AF6" s="137" t="s">
        <v>47</v>
      </c>
    </row>
    <row r="7" spans="1:32" s="140" customFormat="1" ht="15" customHeight="1" x14ac:dyDescent="0.25">
      <c r="B7" s="305"/>
      <c r="C7" s="306"/>
      <c r="D7" s="307"/>
      <c r="E7" s="178"/>
      <c r="F7" s="178"/>
      <c r="G7" s="179"/>
      <c r="H7" s="179"/>
      <c r="I7" s="308">
        <f t="shared" si="0"/>
        <v>0</v>
      </c>
      <c r="J7" s="309"/>
      <c r="L7" s="329"/>
      <c r="M7" s="330"/>
      <c r="N7" s="331"/>
      <c r="O7" s="178"/>
      <c r="P7" s="178"/>
      <c r="Q7" s="179"/>
      <c r="R7" s="179"/>
      <c r="S7" s="273">
        <f>SUM(O7:R7)</f>
        <v>0</v>
      </c>
      <c r="T7" s="274"/>
      <c r="V7" s="207"/>
      <c r="W7" s="208"/>
      <c r="X7" s="209"/>
      <c r="Y7" s="178"/>
      <c r="Z7" s="178"/>
      <c r="AA7" s="179"/>
      <c r="AB7" s="179"/>
      <c r="AC7" s="261">
        <f>SUM(Y7:AB7)</f>
        <v>0</v>
      </c>
      <c r="AD7" s="262"/>
      <c r="AF7" s="143" t="s">
        <v>49</v>
      </c>
    </row>
    <row r="8" spans="1:32" s="140" customFormat="1" ht="15.75" customHeight="1" x14ac:dyDescent="0.25">
      <c r="B8" s="305"/>
      <c r="C8" s="306"/>
      <c r="D8" s="307"/>
      <c r="E8" s="178"/>
      <c r="F8" s="178"/>
      <c r="G8" s="179"/>
      <c r="H8" s="179"/>
      <c r="I8" s="308">
        <f t="shared" si="0"/>
        <v>0</v>
      </c>
      <c r="J8" s="309"/>
      <c r="L8" s="329"/>
      <c r="M8" s="330"/>
      <c r="N8" s="331"/>
      <c r="O8" s="178"/>
      <c r="P8" s="178"/>
      <c r="Q8" s="179"/>
      <c r="R8" s="179"/>
      <c r="S8" s="261">
        <f>SUM(O8:R8)</f>
        <v>0</v>
      </c>
      <c r="T8" s="262"/>
      <c r="V8" s="207"/>
      <c r="W8" s="208"/>
      <c r="X8" s="209"/>
      <c r="Y8" s="178"/>
      <c r="Z8" s="178"/>
      <c r="AA8" s="179"/>
      <c r="AB8" s="179"/>
      <c r="AC8" s="261">
        <f>SUM(Y8:AB8)</f>
        <v>0</v>
      </c>
      <c r="AD8" s="262"/>
      <c r="AF8" s="144" t="s">
        <v>50</v>
      </c>
    </row>
    <row r="9" spans="1:32" s="140" customFormat="1" ht="15" customHeight="1" thickBot="1" x14ac:dyDescent="0.3">
      <c r="B9" s="305"/>
      <c r="C9" s="306"/>
      <c r="D9" s="307"/>
      <c r="E9" s="178"/>
      <c r="F9" s="178"/>
      <c r="G9" s="179"/>
      <c r="H9" s="179"/>
      <c r="I9" s="308">
        <f t="shared" si="0"/>
        <v>0</v>
      </c>
      <c r="J9" s="309"/>
      <c r="L9" s="329"/>
      <c r="M9" s="330"/>
      <c r="N9" s="331"/>
      <c r="O9" s="178"/>
      <c r="P9" s="178"/>
      <c r="Q9" s="179"/>
      <c r="R9" s="179"/>
      <c r="S9" s="273">
        <f t="shared" ref="S9:S10" si="1">SUM(O9:R9)</f>
        <v>0</v>
      </c>
      <c r="T9" s="274"/>
      <c r="V9" s="207"/>
      <c r="W9" s="208"/>
      <c r="X9" s="209"/>
      <c r="Y9" s="177"/>
      <c r="Z9" s="177"/>
      <c r="AA9" s="139"/>
      <c r="AB9" s="139"/>
      <c r="AC9" s="261">
        <f t="shared" ref="AC9:AC10" si="2">SUM(Y9:AB9)</f>
        <v>0</v>
      </c>
      <c r="AD9" s="262"/>
      <c r="AF9" s="146" t="s">
        <v>51</v>
      </c>
    </row>
    <row r="10" spans="1:32" s="140" customFormat="1" ht="15" customHeight="1" thickBot="1" x14ac:dyDescent="0.3">
      <c r="B10" s="310"/>
      <c r="C10" s="311"/>
      <c r="D10" s="312"/>
      <c r="E10" s="177"/>
      <c r="F10" s="177"/>
      <c r="G10" s="139"/>
      <c r="H10" s="139"/>
      <c r="I10" s="308">
        <f t="shared" si="0"/>
        <v>0</v>
      </c>
      <c r="J10" s="309"/>
      <c r="L10" s="329"/>
      <c r="M10" s="330"/>
      <c r="N10" s="331"/>
      <c r="O10" s="177"/>
      <c r="P10" s="177"/>
      <c r="Q10" s="139"/>
      <c r="R10" s="139"/>
      <c r="S10" s="273">
        <f t="shared" si="1"/>
        <v>0</v>
      </c>
      <c r="T10" s="274"/>
      <c r="V10" s="332"/>
      <c r="W10" s="333"/>
      <c r="X10" s="334"/>
      <c r="Y10" s="177"/>
      <c r="Z10" s="177"/>
      <c r="AA10" s="139"/>
      <c r="AB10" s="139"/>
      <c r="AC10" s="261">
        <f t="shared" si="2"/>
        <v>0</v>
      </c>
      <c r="AD10" s="262"/>
      <c r="AF10" s="106" t="s">
        <v>52</v>
      </c>
    </row>
    <row r="11" spans="1:32" s="140" customFormat="1" ht="15" customHeight="1" thickBot="1" x14ac:dyDescent="0.3">
      <c r="B11" s="301" t="s">
        <v>51</v>
      </c>
      <c r="C11" s="302"/>
      <c r="D11" s="303"/>
      <c r="E11" s="180">
        <v>1</v>
      </c>
      <c r="F11" s="180">
        <v>1</v>
      </c>
      <c r="G11" s="181"/>
      <c r="H11" s="181"/>
      <c r="I11" s="308">
        <f>SUM(E11:H11)</f>
        <v>2</v>
      </c>
      <c r="J11" s="309"/>
      <c r="L11" s="301" t="s">
        <v>51</v>
      </c>
      <c r="M11" s="302"/>
      <c r="N11" s="303"/>
      <c r="O11" s="180">
        <v>1</v>
      </c>
      <c r="P11" s="180">
        <v>1</v>
      </c>
      <c r="Q11" s="181"/>
      <c r="R11" s="181"/>
      <c r="S11" s="281">
        <f>SUM(O11:R11)</f>
        <v>2</v>
      </c>
      <c r="T11" s="282"/>
      <c r="V11" s="301" t="s">
        <v>51</v>
      </c>
      <c r="W11" s="302"/>
      <c r="X11" s="303"/>
      <c r="Y11" s="180">
        <v>1</v>
      </c>
      <c r="Z11" s="180">
        <v>1</v>
      </c>
      <c r="AA11" s="181"/>
      <c r="AB11" s="181"/>
      <c r="AC11" s="261">
        <f>SUM(Y11:AB11)</f>
        <v>2</v>
      </c>
      <c r="AD11" s="262"/>
      <c r="AF11" s="1"/>
    </row>
    <row r="12" spans="1:32" s="140" customFormat="1" ht="15.75" thickBot="1" x14ac:dyDescent="0.3">
      <c r="B12" s="64"/>
      <c r="C12" s="64"/>
      <c r="D12" s="64"/>
      <c r="E12" s="182">
        <f t="shared" ref="E12:I12" si="3">SUM(E4:E11)</f>
        <v>1</v>
      </c>
      <c r="F12" s="182">
        <f t="shared" si="3"/>
        <v>1</v>
      </c>
      <c r="G12" s="182">
        <f t="shared" si="3"/>
        <v>0</v>
      </c>
      <c r="H12" s="182">
        <f t="shared" si="3"/>
        <v>0</v>
      </c>
      <c r="I12" s="318">
        <f t="shared" si="3"/>
        <v>2</v>
      </c>
      <c r="J12" s="319"/>
      <c r="L12" s="129"/>
      <c r="M12" s="129"/>
      <c r="N12" s="129"/>
      <c r="O12" s="182">
        <f t="shared" ref="O12:S12" si="4">SUM(O4:O11)</f>
        <v>1</v>
      </c>
      <c r="P12" s="182">
        <f t="shared" si="4"/>
        <v>1</v>
      </c>
      <c r="Q12" s="182">
        <f t="shared" si="4"/>
        <v>0</v>
      </c>
      <c r="R12" s="182">
        <f t="shared" si="4"/>
        <v>0</v>
      </c>
      <c r="S12" s="318">
        <f t="shared" si="4"/>
        <v>2</v>
      </c>
      <c r="T12" s="319"/>
      <c r="V12" s="148"/>
      <c r="W12" s="148"/>
      <c r="X12" s="148"/>
      <c r="Y12" s="182">
        <f t="shared" ref="Y12:AC12" si="5">SUM(Y4:Y11)</f>
        <v>1</v>
      </c>
      <c r="Z12" s="182">
        <f t="shared" si="5"/>
        <v>1</v>
      </c>
      <c r="AA12" s="182">
        <f t="shared" si="5"/>
        <v>0</v>
      </c>
      <c r="AB12" s="182">
        <f t="shared" si="5"/>
        <v>0</v>
      </c>
      <c r="AC12" s="318">
        <f t="shared" si="5"/>
        <v>2</v>
      </c>
      <c r="AD12" s="319"/>
      <c r="AF12" s="1"/>
    </row>
    <row r="13" spans="1:32" s="140" customFormat="1" x14ac:dyDescent="0.25">
      <c r="B13" s="64"/>
      <c r="C13" s="64"/>
      <c r="D13" s="64"/>
      <c r="E13" s="2">
        <f>E14-E12</f>
        <v>9</v>
      </c>
      <c r="F13" s="2">
        <f>F14-F12</f>
        <v>9</v>
      </c>
      <c r="G13" s="2">
        <f>G14-G12</f>
        <v>8</v>
      </c>
      <c r="H13" s="2">
        <f>H14-H12</f>
        <v>8</v>
      </c>
      <c r="I13" s="2"/>
      <c r="J13" s="2"/>
      <c r="L13" s="129"/>
      <c r="M13" s="129"/>
      <c r="N13" s="129"/>
      <c r="O13" s="2">
        <f>O14-O12</f>
        <v>9</v>
      </c>
      <c r="P13" s="2">
        <f>P14-P12</f>
        <v>9</v>
      </c>
      <c r="Q13" s="2">
        <f>Q14-Q12</f>
        <v>8</v>
      </c>
      <c r="R13" s="2">
        <f>R14-R12</f>
        <v>8</v>
      </c>
      <c r="S13" s="2"/>
      <c r="T13" s="2"/>
      <c r="V13" s="148"/>
      <c r="W13" s="148"/>
      <c r="X13" s="148"/>
      <c r="Y13" s="2">
        <f t="shared" ref="Y13:AB13" si="6">Y14-Y12</f>
        <v>9</v>
      </c>
      <c r="Z13" s="2">
        <f t="shared" si="6"/>
        <v>9</v>
      </c>
      <c r="AA13" s="2">
        <f t="shared" si="6"/>
        <v>8</v>
      </c>
      <c r="AB13" s="2">
        <f t="shared" si="6"/>
        <v>8</v>
      </c>
      <c r="AC13" s="2"/>
      <c r="AD13" s="2"/>
      <c r="AF13" s="1"/>
    </row>
    <row r="14" spans="1:32" s="140" customFormat="1" ht="15.75" thickBot="1" x14ac:dyDescent="0.3">
      <c r="B14" s="1"/>
      <c r="C14" s="1"/>
      <c r="D14" s="1"/>
      <c r="E14" s="2">
        <f>'Team Velocity'!C9-SUM('Team Velocity'!D9:E9)</f>
        <v>10</v>
      </c>
      <c r="F14" s="2">
        <f>'Team Velocity'!C8-SUM('Team Velocity'!D8:E8)</f>
        <v>10</v>
      </c>
      <c r="G14" s="2">
        <f>'Team Velocity'!C7-SUM('Team Velocity'!D7:E7)</f>
        <v>8</v>
      </c>
      <c r="H14" s="2">
        <f>'Team Velocity'!C6-SUM('Team Velocity'!D6:E6)</f>
        <v>8</v>
      </c>
      <c r="I14" s="2"/>
      <c r="J14" s="2"/>
      <c r="L14" s="129"/>
      <c r="M14" s="129"/>
      <c r="N14" s="129"/>
      <c r="O14" s="2">
        <f>'Team Velocity'!F9-SUM('Team Velocity'!G9:H9)</f>
        <v>10</v>
      </c>
      <c r="P14" s="2">
        <f>'Team Velocity'!F8-SUM('Team Velocity'!G8:H8)</f>
        <v>10</v>
      </c>
      <c r="Q14" s="2">
        <f>'Team Velocity'!F7-SUM('Team Velocity'!G7:H7)</f>
        <v>8</v>
      </c>
      <c r="R14" s="2">
        <f>'Team Velocity'!F6-SUM('Team Velocity'!G6:H6)</f>
        <v>8</v>
      </c>
      <c r="S14" s="2"/>
      <c r="T14" s="2"/>
      <c r="V14" s="148"/>
      <c r="W14" s="148"/>
      <c r="X14" s="148"/>
      <c r="Y14" s="2">
        <f>'Team Velocity'!I9-SUM('Team Velocity'!J9:K9)</f>
        <v>10</v>
      </c>
      <c r="Z14" s="2">
        <f>'Team Velocity'!I8-SUM('Team Velocity'!J8:K8)</f>
        <v>10</v>
      </c>
      <c r="AA14" s="2">
        <f>'Team Velocity'!I7-SUM('Team Velocity'!J7:K7)</f>
        <v>8</v>
      </c>
      <c r="AB14" s="2">
        <f>'Team Velocity'!I6-SUM('Team Velocity'!J6:K6)</f>
        <v>8</v>
      </c>
      <c r="AC14" s="2"/>
      <c r="AD14" s="2"/>
      <c r="AF14" s="1"/>
    </row>
    <row r="15" spans="1:32" s="140" customFormat="1" x14ac:dyDescent="0.25">
      <c r="B15" s="313" t="str">
        <f>Lookups!C9</f>
        <v>Sprint 4</v>
      </c>
      <c r="C15" s="314"/>
      <c r="D15" s="315"/>
      <c r="E15" s="320" t="s">
        <v>66</v>
      </c>
      <c r="F15" s="320"/>
      <c r="G15" s="321" t="s">
        <v>14</v>
      </c>
      <c r="H15" s="321"/>
      <c r="I15" s="175" t="s">
        <v>43</v>
      </c>
      <c r="J15" s="132">
        <f>'Team Velocity'!L10</f>
        <v>36</v>
      </c>
      <c r="L15" s="326" t="str">
        <f>Lookups!C10</f>
        <v>Sprint 5</v>
      </c>
      <c r="M15" s="327"/>
      <c r="N15" s="328"/>
      <c r="O15" s="320" t="s">
        <v>66</v>
      </c>
      <c r="P15" s="320"/>
      <c r="Q15" s="321" t="s">
        <v>14</v>
      </c>
      <c r="R15" s="321"/>
      <c r="S15" s="175" t="s">
        <v>43</v>
      </c>
      <c r="T15" s="132">
        <f>'Team Velocity'!O10</f>
        <v>36</v>
      </c>
      <c r="V15" s="313" t="str">
        <f>Lookups!C11</f>
        <v>Sprint 6</v>
      </c>
      <c r="W15" s="314"/>
      <c r="X15" s="315"/>
      <c r="Y15" s="320" t="s">
        <v>66</v>
      </c>
      <c r="Z15" s="320"/>
      <c r="AA15" s="321" t="s">
        <v>14</v>
      </c>
      <c r="AB15" s="321"/>
      <c r="AC15" s="175" t="s">
        <v>43</v>
      </c>
      <c r="AD15" s="132">
        <f>'Team Velocity'!R10</f>
        <v>36</v>
      </c>
      <c r="AF15" s="1"/>
    </row>
    <row r="16" spans="1:32" x14ac:dyDescent="0.25">
      <c r="B16" s="193">
        <f>Lookups!D9</f>
        <v>42794</v>
      </c>
      <c r="C16" s="199" t="s">
        <v>24</v>
      </c>
      <c r="D16" s="200">
        <f>Lookups!E9</f>
        <v>42807</v>
      </c>
      <c r="E16" s="133" t="s">
        <v>67</v>
      </c>
      <c r="F16" s="133" t="s">
        <v>68</v>
      </c>
      <c r="G16" s="134" t="s">
        <v>69</v>
      </c>
      <c r="H16" s="134" t="s">
        <v>70</v>
      </c>
      <c r="I16" s="176" t="s">
        <v>44</v>
      </c>
      <c r="J16" s="136">
        <f>'Team Velocity'!M15</f>
        <v>36</v>
      </c>
      <c r="L16" s="195">
        <f>Lookups!D10</f>
        <v>42808</v>
      </c>
      <c r="M16" s="191" t="s">
        <v>24</v>
      </c>
      <c r="N16" s="196">
        <f>Lookups!E10</f>
        <v>42821</v>
      </c>
      <c r="O16" s="133" t="s">
        <v>67</v>
      </c>
      <c r="P16" s="133" t="s">
        <v>68</v>
      </c>
      <c r="Q16" s="134" t="s">
        <v>69</v>
      </c>
      <c r="R16" s="134" t="s">
        <v>70</v>
      </c>
      <c r="S16" s="176" t="s">
        <v>44</v>
      </c>
      <c r="T16" s="136">
        <f>'Team Velocity'!P15</f>
        <v>36</v>
      </c>
      <c r="V16" s="193">
        <f>Lookups!D11</f>
        <v>42822</v>
      </c>
      <c r="W16" s="191" t="s">
        <v>24</v>
      </c>
      <c r="X16" s="194">
        <f>Lookups!E11</f>
        <v>42835</v>
      </c>
      <c r="Y16" s="133" t="s">
        <v>67</v>
      </c>
      <c r="Z16" s="133" t="s">
        <v>68</v>
      </c>
      <c r="AA16" s="134" t="s">
        <v>69</v>
      </c>
      <c r="AB16" s="134" t="s">
        <v>70</v>
      </c>
      <c r="AC16" s="176" t="s">
        <v>44</v>
      </c>
      <c r="AD16" s="136">
        <f>'Team Velocity'!S15</f>
        <v>36</v>
      </c>
    </row>
    <row r="17" spans="2:35" ht="17.25" customHeight="1" x14ac:dyDescent="0.25">
      <c r="B17" s="305"/>
      <c r="C17" s="306"/>
      <c r="D17" s="307"/>
      <c r="E17" s="178"/>
      <c r="F17" s="178"/>
      <c r="G17" s="139"/>
      <c r="H17" s="179"/>
      <c r="I17" s="261">
        <f>SUM(E17:H17)</f>
        <v>0</v>
      </c>
      <c r="J17" s="262"/>
      <c r="L17" s="323"/>
      <c r="M17" s="324"/>
      <c r="N17" s="325"/>
      <c r="O17" s="178"/>
      <c r="P17" s="178"/>
      <c r="Q17" s="139"/>
      <c r="R17" s="179"/>
      <c r="S17" s="261">
        <f>SUM(O17:R17)</f>
        <v>0</v>
      </c>
      <c r="T17" s="262"/>
      <c r="V17" s="305"/>
      <c r="W17" s="306"/>
      <c r="X17" s="307"/>
      <c r="Y17" s="178"/>
      <c r="Z17" s="178"/>
      <c r="AA17" s="179"/>
      <c r="AB17" s="179"/>
      <c r="AC17" s="261">
        <f>SUM(Y17:AB17)</f>
        <v>0</v>
      </c>
      <c r="AD17" s="262"/>
      <c r="AF17" s="102"/>
    </row>
    <row r="18" spans="2:35" ht="15.75" customHeight="1" x14ac:dyDescent="0.25">
      <c r="B18" s="305"/>
      <c r="C18" s="306"/>
      <c r="D18" s="307"/>
      <c r="E18" s="178"/>
      <c r="F18" s="178"/>
      <c r="G18" s="179"/>
      <c r="H18" s="179"/>
      <c r="I18" s="261">
        <f>SUM(E18:H18)</f>
        <v>0</v>
      </c>
      <c r="J18" s="262"/>
      <c r="L18" s="323"/>
      <c r="M18" s="324"/>
      <c r="N18" s="325"/>
      <c r="O18" s="178"/>
      <c r="P18" s="178"/>
      <c r="Q18" s="139"/>
      <c r="R18" s="179"/>
      <c r="S18" s="261">
        <f>SUM(O18:R18)</f>
        <v>0</v>
      </c>
      <c r="T18" s="262"/>
      <c r="V18" s="305"/>
      <c r="W18" s="306"/>
      <c r="X18" s="307"/>
      <c r="Y18" s="177"/>
      <c r="Z18" s="177"/>
      <c r="AA18" s="139"/>
      <c r="AB18" s="139"/>
      <c r="AC18" s="261">
        <f>SUM(Y18:AB18)</f>
        <v>0</v>
      </c>
      <c r="AD18" s="262"/>
      <c r="AF18" s="102"/>
    </row>
    <row r="19" spans="2:35" ht="15.75" customHeight="1" x14ac:dyDescent="0.25">
      <c r="B19" s="305"/>
      <c r="C19" s="306"/>
      <c r="D19" s="307"/>
      <c r="E19" s="178"/>
      <c r="F19" s="178"/>
      <c r="G19" s="179"/>
      <c r="H19" s="179"/>
      <c r="I19" s="261">
        <f>SUM(E19:H19)</f>
        <v>0</v>
      </c>
      <c r="J19" s="262"/>
      <c r="L19" s="323"/>
      <c r="M19" s="324"/>
      <c r="N19" s="325"/>
      <c r="O19" s="178"/>
      <c r="P19" s="178"/>
      <c r="Q19" s="179"/>
      <c r="R19" s="179"/>
      <c r="S19" s="261">
        <f>SUM(O19:R19)</f>
        <v>0</v>
      </c>
      <c r="T19" s="262"/>
      <c r="V19" s="305"/>
      <c r="W19" s="306"/>
      <c r="X19" s="307"/>
      <c r="Y19" s="178"/>
      <c r="Z19" s="178"/>
      <c r="AA19" s="139"/>
      <c r="AB19" s="179"/>
      <c r="AC19" s="261">
        <f>SUM(Y19:AB19)</f>
        <v>0</v>
      </c>
      <c r="AD19" s="262"/>
    </row>
    <row r="20" spans="2:35" ht="15.75" customHeight="1" x14ac:dyDescent="0.25">
      <c r="B20" s="305"/>
      <c r="C20" s="306"/>
      <c r="D20" s="307"/>
      <c r="E20" s="178"/>
      <c r="F20" s="178"/>
      <c r="G20" s="179"/>
      <c r="H20" s="179"/>
      <c r="I20" s="261">
        <f>SUM(E20:H20)</f>
        <v>0</v>
      </c>
      <c r="J20" s="262"/>
      <c r="L20" s="323"/>
      <c r="M20" s="324"/>
      <c r="N20" s="325"/>
      <c r="O20" s="178"/>
      <c r="P20" s="178"/>
      <c r="Q20" s="179"/>
      <c r="R20" s="179"/>
      <c r="S20" s="261">
        <f>SUM(O20:R20)</f>
        <v>0</v>
      </c>
      <c r="T20" s="262"/>
      <c r="V20" s="305"/>
      <c r="W20" s="306"/>
      <c r="X20" s="307"/>
      <c r="Y20" s="177"/>
      <c r="Z20" s="177"/>
      <c r="AA20" s="139"/>
      <c r="AB20" s="139"/>
      <c r="AC20" s="261">
        <f>SUM(Y20:AB20)</f>
        <v>0</v>
      </c>
      <c r="AD20" s="262"/>
      <c r="AF20" s="103"/>
    </row>
    <row r="21" spans="2:35" ht="15.75" customHeight="1" x14ac:dyDescent="0.25">
      <c r="B21" s="305"/>
      <c r="C21" s="306"/>
      <c r="D21" s="307"/>
      <c r="E21" s="178"/>
      <c r="F21" s="178"/>
      <c r="G21" s="179"/>
      <c r="H21" s="179"/>
      <c r="I21" s="261"/>
      <c r="J21" s="262"/>
      <c r="L21" s="323"/>
      <c r="M21" s="324"/>
      <c r="N21" s="325"/>
      <c r="O21" s="178"/>
      <c r="P21" s="178"/>
      <c r="Q21" s="139"/>
      <c r="R21" s="179"/>
      <c r="S21" s="261"/>
      <c r="T21" s="262"/>
      <c r="V21" s="305"/>
      <c r="W21" s="306"/>
      <c r="X21" s="307"/>
      <c r="Y21" s="178"/>
      <c r="Z21" s="178"/>
      <c r="AA21" s="179"/>
      <c r="AB21" s="179"/>
      <c r="AC21" s="261">
        <f t="shared" ref="AC21:AC23" si="7">SUM(Y21:AB21)</f>
        <v>0</v>
      </c>
      <c r="AD21" s="262"/>
      <c r="AF21" s="107"/>
    </row>
    <row r="22" spans="2:35" ht="15" customHeight="1" x14ac:dyDescent="0.25">
      <c r="B22" s="305"/>
      <c r="C22" s="306"/>
      <c r="D22" s="307"/>
      <c r="E22" s="177"/>
      <c r="F22" s="177"/>
      <c r="G22" s="139"/>
      <c r="H22" s="139"/>
      <c r="I22" s="275"/>
      <c r="J22" s="276"/>
      <c r="L22" s="323"/>
      <c r="M22" s="324"/>
      <c r="N22" s="325"/>
      <c r="O22" s="178"/>
      <c r="P22" s="178"/>
      <c r="Q22" s="179"/>
      <c r="R22" s="179"/>
      <c r="S22" s="261"/>
      <c r="T22" s="262"/>
      <c r="V22" s="305"/>
      <c r="W22" s="306"/>
      <c r="X22" s="307"/>
      <c r="Y22" s="178"/>
      <c r="Z22" s="178"/>
      <c r="AA22" s="179"/>
      <c r="AB22" s="179"/>
      <c r="AC22" s="261">
        <f t="shared" si="7"/>
        <v>0</v>
      </c>
      <c r="AD22" s="262"/>
    </row>
    <row r="23" spans="2:35" ht="15" customHeight="1" x14ac:dyDescent="0.25">
      <c r="B23" s="310"/>
      <c r="C23" s="311"/>
      <c r="D23" s="312"/>
      <c r="E23" s="177"/>
      <c r="F23" s="177"/>
      <c r="G23" s="139"/>
      <c r="H23" s="139"/>
      <c r="I23" s="281"/>
      <c r="J23" s="282"/>
      <c r="L23" s="323"/>
      <c r="M23" s="324"/>
      <c r="N23" s="325"/>
      <c r="O23" s="178"/>
      <c r="P23" s="178"/>
      <c r="Q23" s="179"/>
      <c r="R23" s="179"/>
      <c r="S23" s="261"/>
      <c r="T23" s="262"/>
      <c r="V23" s="305"/>
      <c r="W23" s="306"/>
      <c r="X23" s="307"/>
      <c r="Y23" s="177"/>
      <c r="Z23" s="177"/>
      <c r="AA23" s="139"/>
      <c r="AB23" s="139"/>
      <c r="AC23" s="261">
        <f t="shared" si="7"/>
        <v>0</v>
      </c>
      <c r="AD23" s="262"/>
      <c r="AE23" s="103"/>
      <c r="AF23" s="107"/>
    </row>
    <row r="24" spans="2:35" ht="15" customHeight="1" thickBot="1" x14ac:dyDescent="0.3">
      <c r="B24" s="301" t="s">
        <v>51</v>
      </c>
      <c r="C24" s="302"/>
      <c r="D24" s="303"/>
      <c r="E24" s="178">
        <v>2</v>
      </c>
      <c r="F24" s="178"/>
      <c r="G24" s="183"/>
      <c r="H24" s="183"/>
      <c r="I24" s="284">
        <f>SUM(E24:H24)</f>
        <v>2</v>
      </c>
      <c r="J24" s="285"/>
      <c r="L24" s="301" t="s">
        <v>51</v>
      </c>
      <c r="M24" s="302"/>
      <c r="N24" s="303"/>
      <c r="O24" s="180">
        <v>1</v>
      </c>
      <c r="P24" s="180">
        <v>1</v>
      </c>
      <c r="Q24" s="181"/>
      <c r="R24" s="181"/>
      <c r="S24" s="290">
        <f>SUM(O24:R24)</f>
        <v>2</v>
      </c>
      <c r="T24" s="322"/>
      <c r="V24" s="301" t="s">
        <v>51</v>
      </c>
      <c r="W24" s="302"/>
      <c r="X24" s="303"/>
      <c r="Y24" s="189">
        <v>1</v>
      </c>
      <c r="Z24" s="189">
        <v>1</v>
      </c>
      <c r="AA24" s="190"/>
      <c r="AB24" s="190"/>
      <c r="AC24" s="261">
        <f>SUM(Y24:AB24)</f>
        <v>2</v>
      </c>
      <c r="AD24" s="262"/>
      <c r="AE24" s="102"/>
    </row>
    <row r="25" spans="2:35" ht="15.75" thickBot="1" x14ac:dyDescent="0.3">
      <c r="E25" s="184">
        <f>SUM(E17:E24)</f>
        <v>2</v>
      </c>
      <c r="F25" s="184">
        <f>SUM(F17:F24)</f>
        <v>0</v>
      </c>
      <c r="G25" s="184">
        <f>SUM(G17:G24)</f>
        <v>0</v>
      </c>
      <c r="H25" s="184">
        <f>SUM(H17:H24)</f>
        <v>0</v>
      </c>
      <c r="I25" s="316">
        <f>SUM(I17:I24)</f>
        <v>2</v>
      </c>
      <c r="J25" s="317"/>
      <c r="O25" s="182">
        <f t="shared" ref="O25:S25" si="8">SUM(O17:O24)</f>
        <v>1</v>
      </c>
      <c r="P25" s="182">
        <f t="shared" si="8"/>
        <v>1</v>
      </c>
      <c r="Q25" s="182">
        <f t="shared" si="8"/>
        <v>0</v>
      </c>
      <c r="R25" s="182">
        <f t="shared" si="8"/>
        <v>0</v>
      </c>
      <c r="S25" s="318">
        <f t="shared" si="8"/>
        <v>2</v>
      </c>
      <c r="T25" s="319"/>
      <c r="Y25" s="182">
        <f>SUM(Y17:Y24)</f>
        <v>1</v>
      </c>
      <c r="Z25" s="182">
        <f>SUM(Z17:Z24)</f>
        <v>1</v>
      </c>
      <c r="AA25" s="182">
        <f>SUM(AA17:AA24)</f>
        <v>0</v>
      </c>
      <c r="AB25" s="182">
        <f>SUM(AB17:AB24)</f>
        <v>0</v>
      </c>
      <c r="AC25" s="318">
        <f>SUM(Y17:AB24)</f>
        <v>2</v>
      </c>
      <c r="AD25" s="319"/>
      <c r="AE25" s="102"/>
    </row>
    <row r="26" spans="2:35" x14ac:dyDescent="0.25">
      <c r="E26" s="2">
        <f t="shared" ref="E26:H26" si="9">E27-E25</f>
        <v>8</v>
      </c>
      <c r="F26" s="2">
        <f t="shared" si="9"/>
        <v>10</v>
      </c>
      <c r="G26" s="2">
        <f t="shared" si="9"/>
        <v>8</v>
      </c>
      <c r="H26" s="2">
        <f t="shared" si="9"/>
        <v>8</v>
      </c>
      <c r="O26" s="2">
        <f t="shared" ref="O26:R26" si="10">O27-O25</f>
        <v>9</v>
      </c>
      <c r="P26" s="2">
        <f t="shared" si="10"/>
        <v>9</v>
      </c>
      <c r="Q26" s="2">
        <f t="shared" si="10"/>
        <v>8</v>
      </c>
      <c r="R26" s="2">
        <f t="shared" si="10"/>
        <v>8</v>
      </c>
      <c r="Y26" s="2">
        <f t="shared" ref="Y26:AB26" si="11">Y27-Y25</f>
        <v>9</v>
      </c>
      <c r="Z26" s="2">
        <f t="shared" si="11"/>
        <v>9</v>
      </c>
      <c r="AA26" s="2">
        <f t="shared" si="11"/>
        <v>8</v>
      </c>
      <c r="AB26" s="2">
        <f t="shared" si="11"/>
        <v>8</v>
      </c>
      <c r="AE26" s="102"/>
    </row>
    <row r="27" spans="2:35" ht="15.75" thickBot="1" x14ac:dyDescent="0.3">
      <c r="E27" s="2">
        <f>'Team Velocity'!L9-SUM('Team Velocity'!M9:N9)</f>
        <v>10</v>
      </c>
      <c r="F27" s="2">
        <f>'Team Velocity'!L8-SUM('Team Velocity'!M8:N8)</f>
        <v>10</v>
      </c>
      <c r="G27" s="2">
        <f>'Team Velocity'!L7-SUM('Team Velocity'!M7:N7)</f>
        <v>8</v>
      </c>
      <c r="H27" s="2">
        <f>'Team Velocity'!L6-SUM('Team Velocity'!M6:N6)</f>
        <v>8</v>
      </c>
      <c r="O27" s="2">
        <f>'Team Velocity'!O9-SUM('Team Velocity'!P9:Q9)</f>
        <v>10</v>
      </c>
      <c r="P27" s="2">
        <f>'Team Velocity'!O8-SUM('Team Velocity'!P8:Q8)</f>
        <v>10</v>
      </c>
      <c r="Q27" s="2">
        <f>'Team Velocity'!O7-SUM('Team Velocity'!P7:Q7)</f>
        <v>8</v>
      </c>
      <c r="R27" s="2">
        <f>'Team Velocity'!O6-SUM('Team Velocity'!P6:Q6)</f>
        <v>8</v>
      </c>
      <c r="Y27" s="2">
        <f>'Team Velocity'!R9-SUM('Team Velocity'!S9:T9)</f>
        <v>10</v>
      </c>
      <c r="Z27" s="2">
        <f>'Team Velocity'!R8-SUM('Team Velocity'!S8:T8)</f>
        <v>10</v>
      </c>
      <c r="AA27" s="2">
        <f>'Team Velocity'!R7-SUM('Team Velocity'!S7:T7)</f>
        <v>8</v>
      </c>
      <c r="AB27" s="2">
        <f>'Team Velocity'!R6-SUM('Team Velocity'!S6:T6)</f>
        <v>8</v>
      </c>
    </row>
    <row r="28" spans="2:35" x14ac:dyDescent="0.25">
      <c r="B28" s="313" t="str">
        <f>Lookups!C12</f>
        <v>Sprint 7</v>
      </c>
      <c r="C28" s="314"/>
      <c r="D28" s="315"/>
      <c r="E28" s="320" t="s">
        <v>66</v>
      </c>
      <c r="F28" s="320"/>
      <c r="G28" s="321" t="s">
        <v>14</v>
      </c>
      <c r="H28" s="321"/>
      <c r="I28" s="175" t="s">
        <v>43</v>
      </c>
      <c r="J28" s="132">
        <f>'Team Velocity'!U10</f>
        <v>36</v>
      </c>
      <c r="L28" s="313" t="str">
        <f>Lookups!C13</f>
        <v>Srpint 8 (1 WK HIP)</v>
      </c>
      <c r="M28" s="314"/>
      <c r="N28" s="315"/>
      <c r="O28" s="320" t="s">
        <v>66</v>
      </c>
      <c r="P28" s="320"/>
      <c r="Q28" s="321" t="s">
        <v>14</v>
      </c>
      <c r="R28" s="321"/>
      <c r="S28" s="175" t="s">
        <v>43</v>
      </c>
      <c r="T28" s="132">
        <f>'Team Velocity'!X10</f>
        <v>18</v>
      </c>
    </row>
    <row r="29" spans="2:35" x14ac:dyDescent="0.25">
      <c r="B29" s="193">
        <f>Lookups!D12</f>
        <v>42836</v>
      </c>
      <c r="C29" s="191" t="s">
        <v>24</v>
      </c>
      <c r="D29" s="194">
        <f>Lookups!E12</f>
        <v>42849</v>
      </c>
      <c r="E29" s="133" t="s">
        <v>67</v>
      </c>
      <c r="F29" s="133" t="s">
        <v>68</v>
      </c>
      <c r="G29" s="134" t="s">
        <v>69</v>
      </c>
      <c r="H29" s="134" t="s">
        <v>70</v>
      </c>
      <c r="I29" s="176" t="s">
        <v>44</v>
      </c>
      <c r="J29" s="136">
        <f>'Team Velocity'!V15</f>
        <v>36</v>
      </c>
      <c r="L29" s="193">
        <f>Lookups!D13</f>
        <v>42850</v>
      </c>
      <c r="M29" s="191" t="s">
        <v>24</v>
      </c>
      <c r="N29" s="194">
        <f>Lookups!E13</f>
        <v>42856</v>
      </c>
      <c r="O29" s="133" t="s">
        <v>67</v>
      </c>
      <c r="P29" s="133" t="s">
        <v>68</v>
      </c>
      <c r="Q29" s="134" t="s">
        <v>69</v>
      </c>
      <c r="R29" s="134" t="s">
        <v>70</v>
      </c>
      <c r="S29" s="176" t="s">
        <v>44</v>
      </c>
      <c r="T29" s="136">
        <f>'Team Velocity'!Y15</f>
        <v>18</v>
      </c>
    </row>
    <row r="30" spans="2:35" ht="15" customHeight="1" x14ac:dyDescent="0.25">
      <c r="B30" s="298"/>
      <c r="C30" s="299"/>
      <c r="D30" s="300"/>
      <c r="E30" s="177"/>
      <c r="F30" s="177"/>
      <c r="G30" s="139"/>
      <c r="H30" s="139"/>
      <c r="I30" s="275">
        <f>SUM(E30:H30)</f>
        <v>0</v>
      </c>
      <c r="J30" s="276"/>
      <c r="L30" s="298"/>
      <c r="M30" s="299"/>
      <c r="N30" s="300"/>
      <c r="O30" s="177"/>
      <c r="P30" s="177"/>
      <c r="Q30" s="139"/>
      <c r="R30" s="139"/>
      <c r="S30" s="275">
        <f>SUM(O30:R30)</f>
        <v>0</v>
      </c>
      <c r="T30" s="276"/>
      <c r="AI30" s="103"/>
    </row>
    <row r="31" spans="2:35" ht="15.75" customHeight="1" x14ac:dyDescent="0.25">
      <c r="B31" s="298"/>
      <c r="C31" s="299"/>
      <c r="D31" s="300"/>
      <c r="E31" s="177"/>
      <c r="F31" s="177"/>
      <c r="G31" s="139"/>
      <c r="H31" s="139"/>
      <c r="I31" s="261">
        <f>SUM(E31:H31)</f>
        <v>0</v>
      </c>
      <c r="J31" s="262"/>
      <c r="L31" s="298"/>
      <c r="M31" s="299"/>
      <c r="N31" s="300"/>
      <c r="O31" s="185"/>
      <c r="P31" s="185"/>
      <c r="Q31" s="139"/>
      <c r="R31" s="139"/>
      <c r="S31" s="261">
        <f>SUM(O31:R31)</f>
        <v>0</v>
      </c>
      <c r="T31" s="262"/>
      <c r="AE31" s="78"/>
    </row>
    <row r="32" spans="2:35" ht="15" customHeight="1" x14ac:dyDescent="0.25">
      <c r="B32" s="298"/>
      <c r="C32" s="299"/>
      <c r="D32" s="300"/>
      <c r="E32" s="185"/>
      <c r="F32" s="185"/>
      <c r="G32" s="186"/>
      <c r="H32" s="186"/>
      <c r="I32" s="261">
        <f t="shared" ref="I32:I33" si="12">SUM(E32:H32)</f>
        <v>0</v>
      </c>
      <c r="J32" s="262"/>
      <c r="L32" s="298"/>
      <c r="M32" s="299"/>
      <c r="N32" s="300"/>
      <c r="O32" s="185"/>
      <c r="P32" s="185"/>
      <c r="Q32" s="186"/>
      <c r="R32" s="186"/>
      <c r="S32" s="261">
        <f t="shared" ref="S32:S35" si="13">SUM(O32:R32)</f>
        <v>0</v>
      </c>
      <c r="T32" s="262"/>
      <c r="AI32" s="102"/>
    </row>
    <row r="33" spans="2:20" ht="15" customHeight="1" x14ac:dyDescent="0.25">
      <c r="B33" s="298"/>
      <c r="C33" s="299"/>
      <c r="D33" s="300"/>
      <c r="E33" s="185"/>
      <c r="F33" s="185"/>
      <c r="G33" s="186"/>
      <c r="H33" s="186"/>
      <c r="I33" s="261">
        <f t="shared" si="12"/>
        <v>0</v>
      </c>
      <c r="J33" s="262"/>
      <c r="L33" s="298"/>
      <c r="M33" s="299"/>
      <c r="N33" s="300"/>
      <c r="O33" s="185"/>
      <c r="P33" s="185"/>
      <c r="Q33" s="186"/>
      <c r="R33" s="186"/>
      <c r="S33" s="261">
        <f t="shared" si="13"/>
        <v>0</v>
      </c>
      <c r="T33" s="262"/>
    </row>
    <row r="34" spans="2:20" ht="15" customHeight="1" x14ac:dyDescent="0.25">
      <c r="B34" s="298"/>
      <c r="C34" s="299"/>
      <c r="D34" s="300"/>
      <c r="E34" s="178"/>
      <c r="F34" s="178"/>
      <c r="G34" s="179"/>
      <c r="H34" s="179"/>
      <c r="I34" s="261">
        <f>SUM(E34:H34)</f>
        <v>0</v>
      </c>
      <c r="J34" s="262"/>
      <c r="L34" s="298"/>
      <c r="M34" s="299"/>
      <c r="N34" s="300"/>
      <c r="O34" s="178"/>
      <c r="P34" s="178"/>
      <c r="Q34" s="179"/>
      <c r="R34" s="179"/>
      <c r="S34" s="261">
        <f t="shared" si="13"/>
        <v>0</v>
      </c>
      <c r="T34" s="262"/>
    </row>
    <row r="35" spans="2:20" ht="16.5" customHeight="1" x14ac:dyDescent="0.25">
      <c r="B35" s="298"/>
      <c r="C35" s="299"/>
      <c r="D35" s="300"/>
      <c r="E35" s="177"/>
      <c r="F35" s="177"/>
      <c r="G35" s="139"/>
      <c r="H35" s="139"/>
      <c r="I35" s="261">
        <f>SUM(E35:H35)</f>
        <v>0</v>
      </c>
      <c r="J35" s="262"/>
      <c r="L35" s="298"/>
      <c r="M35" s="299"/>
      <c r="N35" s="300"/>
      <c r="O35" s="177"/>
      <c r="P35" s="177"/>
      <c r="Q35" s="139"/>
      <c r="R35" s="139"/>
      <c r="S35" s="261">
        <f t="shared" si="13"/>
        <v>0</v>
      </c>
      <c r="T35" s="262"/>
    </row>
    <row r="36" spans="2:20" ht="15" customHeight="1" thickBot="1" x14ac:dyDescent="0.3">
      <c r="B36" s="301" t="s">
        <v>51</v>
      </c>
      <c r="C36" s="302"/>
      <c r="D36" s="303"/>
      <c r="E36" s="187">
        <v>1</v>
      </c>
      <c r="F36" s="187">
        <v>1</v>
      </c>
      <c r="G36" s="183"/>
      <c r="H36" s="183"/>
      <c r="I36" s="275">
        <f>SUM(E36:H36)</f>
        <v>2</v>
      </c>
      <c r="J36" s="276"/>
      <c r="L36" s="301" t="s">
        <v>51</v>
      </c>
      <c r="M36" s="302"/>
      <c r="N36" s="303"/>
      <c r="O36" s="187">
        <v>1</v>
      </c>
      <c r="P36" s="187">
        <v>1</v>
      </c>
      <c r="Q36" s="183"/>
      <c r="R36" s="183"/>
      <c r="S36" s="275">
        <f>SUM(O36:R36)</f>
        <v>2</v>
      </c>
      <c r="T36" s="276"/>
    </row>
    <row r="37" spans="2:20" x14ac:dyDescent="0.25">
      <c r="E37" s="188">
        <f>SUM(E30:E36)</f>
        <v>1</v>
      </c>
      <c r="F37" s="188">
        <f>SUM(F30:F36)</f>
        <v>1</v>
      </c>
      <c r="G37" s="188">
        <f>SUM(G30:G36)</f>
        <v>0</v>
      </c>
      <c r="H37" s="188">
        <f>SUM(H30:H36)</f>
        <v>0</v>
      </c>
      <c r="I37" s="304">
        <f>SUM(I30:J36)</f>
        <v>2</v>
      </c>
      <c r="J37" s="304"/>
      <c r="L37" s="1"/>
      <c r="M37" s="1"/>
      <c r="N37" s="1"/>
      <c r="O37" s="188">
        <f>SUM(O30:O36)</f>
        <v>1</v>
      </c>
      <c r="P37" s="188">
        <f>SUM(P30:P36)</f>
        <v>1</v>
      </c>
      <c r="Q37" s="188">
        <f>SUM(Q30:Q36)</f>
        <v>0</v>
      </c>
      <c r="R37" s="188">
        <f>SUM(R30:R36)</f>
        <v>0</v>
      </c>
      <c r="S37" s="304">
        <f>SUM(S30:T36)</f>
        <v>2</v>
      </c>
      <c r="T37" s="304"/>
    </row>
    <row r="38" spans="2:20" x14ac:dyDescent="0.25">
      <c r="E38" s="2">
        <f t="shared" ref="E38:H38" si="14">E39-E37</f>
        <v>9</v>
      </c>
      <c r="F38" s="2">
        <f t="shared" si="14"/>
        <v>9</v>
      </c>
      <c r="G38" s="2">
        <f t="shared" si="14"/>
        <v>8</v>
      </c>
      <c r="H38" s="2">
        <f t="shared" si="14"/>
        <v>8</v>
      </c>
      <c r="L38" s="1"/>
      <c r="M38" s="1"/>
      <c r="N38" s="1"/>
      <c r="O38" s="2">
        <f t="shared" ref="O38:R38" si="15">O39-O37</f>
        <v>4</v>
      </c>
      <c r="P38" s="2">
        <f t="shared" si="15"/>
        <v>4</v>
      </c>
      <c r="Q38" s="2">
        <f t="shared" si="15"/>
        <v>4</v>
      </c>
      <c r="R38" s="2">
        <f t="shared" si="15"/>
        <v>4</v>
      </c>
    </row>
    <row r="39" spans="2:20" x14ac:dyDescent="0.25">
      <c r="E39" s="2">
        <f>'Team Velocity'!U9-SUM('Team Velocity'!V9:W9)</f>
        <v>10</v>
      </c>
      <c r="F39" s="2">
        <f>'Team Velocity'!U8-SUM('Team Velocity'!V8:W8)</f>
        <v>10</v>
      </c>
      <c r="G39" s="2">
        <f>'Team Velocity'!U7-SUM('Team Velocity'!V7:W7)</f>
        <v>8</v>
      </c>
      <c r="H39" s="2">
        <f>'Team Velocity'!U6-SUM('Team Velocity'!V6:W6)</f>
        <v>8</v>
      </c>
      <c r="L39" s="1"/>
      <c r="M39" s="1"/>
      <c r="N39" s="1"/>
      <c r="O39" s="2">
        <f>'Team Velocity'!X9-SUM('Team Velocity'!Y9:Z9)</f>
        <v>5</v>
      </c>
      <c r="P39" s="2">
        <f>'Team Velocity'!X8-SUM('Team Velocity'!Y8:Z8)</f>
        <v>5</v>
      </c>
      <c r="Q39" s="2">
        <f>'Team Velocity'!X7-SUM('Team Velocity'!Y7:Z7)</f>
        <v>4</v>
      </c>
      <c r="R39" s="2">
        <f>'Team Velocity'!X6-SUM('Team Velocity'!Y6:Z6)</f>
        <v>4</v>
      </c>
    </row>
  </sheetData>
  <mergeCells count="150">
    <mergeCell ref="B2:D2"/>
    <mergeCell ref="B4:D4"/>
    <mergeCell ref="AC4:AD4"/>
    <mergeCell ref="E2:F2"/>
    <mergeCell ref="G2:H2"/>
    <mergeCell ref="O2:P2"/>
    <mergeCell ref="Q2:R2"/>
    <mergeCell ref="Y2:Z2"/>
    <mergeCell ref="AA2:AB2"/>
    <mergeCell ref="I4:J4"/>
    <mergeCell ref="S4:T4"/>
    <mergeCell ref="V2:X2"/>
    <mergeCell ref="L2:N2"/>
    <mergeCell ref="L4:N4"/>
    <mergeCell ref="S7:T7"/>
    <mergeCell ref="AC7:AD7"/>
    <mergeCell ref="I8:J8"/>
    <mergeCell ref="S8:T8"/>
    <mergeCell ref="AC8:AD8"/>
    <mergeCell ref="I5:J5"/>
    <mergeCell ref="S5:T5"/>
    <mergeCell ref="AC5:AD5"/>
    <mergeCell ref="I6:J6"/>
    <mergeCell ref="S6:T6"/>
    <mergeCell ref="AC6:AD6"/>
    <mergeCell ref="L8:N8"/>
    <mergeCell ref="L5:N5"/>
    <mergeCell ref="L6:N6"/>
    <mergeCell ref="L7:N7"/>
    <mergeCell ref="S11:T11"/>
    <mergeCell ref="AC11:AD11"/>
    <mergeCell ref="I12:J12"/>
    <mergeCell ref="S12:T12"/>
    <mergeCell ref="AC12:AD12"/>
    <mergeCell ref="V11:X11"/>
    <mergeCell ref="I9:J9"/>
    <mergeCell ref="S9:T9"/>
    <mergeCell ref="AC9:AD9"/>
    <mergeCell ref="I10:J10"/>
    <mergeCell ref="S10:T10"/>
    <mergeCell ref="AC10:AD10"/>
    <mergeCell ref="L9:N9"/>
    <mergeCell ref="L10:N10"/>
    <mergeCell ref="L11:N11"/>
    <mergeCell ref="V10:X10"/>
    <mergeCell ref="S18:T18"/>
    <mergeCell ref="AC18:AD18"/>
    <mergeCell ref="I19:J19"/>
    <mergeCell ref="S19:T19"/>
    <mergeCell ref="AC19:AD19"/>
    <mergeCell ref="AC17:AD17"/>
    <mergeCell ref="E15:F15"/>
    <mergeCell ref="G15:H15"/>
    <mergeCell ref="O15:P15"/>
    <mergeCell ref="Q15:R15"/>
    <mergeCell ref="Y15:Z15"/>
    <mergeCell ref="AA15:AB15"/>
    <mergeCell ref="I17:J17"/>
    <mergeCell ref="S17:T17"/>
    <mergeCell ref="L17:N17"/>
    <mergeCell ref="L18:N18"/>
    <mergeCell ref="L19:N19"/>
    <mergeCell ref="V15:X15"/>
    <mergeCell ref="V17:X17"/>
    <mergeCell ref="V18:X18"/>
    <mergeCell ref="V19:X19"/>
    <mergeCell ref="L15:N15"/>
    <mergeCell ref="S22:T22"/>
    <mergeCell ref="AC22:AD22"/>
    <mergeCell ref="L22:N22"/>
    <mergeCell ref="V22:X22"/>
    <mergeCell ref="I20:J20"/>
    <mergeCell ref="S20:T20"/>
    <mergeCell ref="AC20:AD20"/>
    <mergeCell ref="I21:J21"/>
    <mergeCell ref="S21:T21"/>
    <mergeCell ref="AC21:AD21"/>
    <mergeCell ref="L21:N21"/>
    <mergeCell ref="L20:N20"/>
    <mergeCell ref="V20:X20"/>
    <mergeCell ref="V21:X21"/>
    <mergeCell ref="S25:T25"/>
    <mergeCell ref="AC25:AD25"/>
    <mergeCell ref="E28:F28"/>
    <mergeCell ref="G28:H28"/>
    <mergeCell ref="B28:D28"/>
    <mergeCell ref="I23:J23"/>
    <mergeCell ref="S23:T23"/>
    <mergeCell ref="AC23:AD23"/>
    <mergeCell ref="I24:J24"/>
    <mergeCell ref="S24:T24"/>
    <mergeCell ref="AC24:AD24"/>
    <mergeCell ref="L23:N23"/>
    <mergeCell ref="L24:N24"/>
    <mergeCell ref="V23:X23"/>
    <mergeCell ref="V24:X24"/>
    <mergeCell ref="L28:N28"/>
    <mergeCell ref="O28:P28"/>
    <mergeCell ref="Q28:R28"/>
    <mergeCell ref="B15:D15"/>
    <mergeCell ref="B21:D21"/>
    <mergeCell ref="I36:J36"/>
    <mergeCell ref="I37:J37"/>
    <mergeCell ref="I30:J30"/>
    <mergeCell ref="I31:J31"/>
    <mergeCell ref="I32:J32"/>
    <mergeCell ref="I33:J33"/>
    <mergeCell ref="I34:J34"/>
    <mergeCell ref="I35:J35"/>
    <mergeCell ref="I25:J25"/>
    <mergeCell ref="I22:J22"/>
    <mergeCell ref="B5:D5"/>
    <mergeCell ref="B6:D6"/>
    <mergeCell ref="B7:D7"/>
    <mergeCell ref="B8:D8"/>
    <mergeCell ref="B9:D9"/>
    <mergeCell ref="I18:J18"/>
    <mergeCell ref="I11:J11"/>
    <mergeCell ref="I7:J7"/>
    <mergeCell ref="B36:D36"/>
    <mergeCell ref="B33:D33"/>
    <mergeCell ref="B34:D34"/>
    <mergeCell ref="B35:D35"/>
    <mergeCell ref="B22:D22"/>
    <mergeCell ref="B23:D23"/>
    <mergeCell ref="B31:D31"/>
    <mergeCell ref="B32:D32"/>
    <mergeCell ref="B30:D30"/>
    <mergeCell ref="B24:D24"/>
    <mergeCell ref="B10:D10"/>
    <mergeCell ref="B17:D17"/>
    <mergeCell ref="B18:D18"/>
    <mergeCell ref="B19:D19"/>
    <mergeCell ref="B20:D20"/>
    <mergeCell ref="B11:D11"/>
    <mergeCell ref="L35:N35"/>
    <mergeCell ref="S35:T35"/>
    <mergeCell ref="L36:N36"/>
    <mergeCell ref="S36:T36"/>
    <mergeCell ref="S37:T37"/>
    <mergeCell ref="L30:N30"/>
    <mergeCell ref="S30:T30"/>
    <mergeCell ref="L31:N31"/>
    <mergeCell ref="S31:T31"/>
    <mergeCell ref="L32:N32"/>
    <mergeCell ref="S32:T32"/>
    <mergeCell ref="L33:N33"/>
    <mergeCell ref="S33:T33"/>
    <mergeCell ref="L34:N34"/>
    <mergeCell ref="S34:T34"/>
  </mergeCells>
  <conditionalFormatting sqref="E13:H13 O13:R13 Y13:AB13 E26:H26 O26:R26 Y26:AB26 E38:H38">
    <cfRule type="cellIs" dxfId="9" priority="3" operator="notEqual">
      <formula>0</formula>
    </cfRule>
  </conditionalFormatting>
  <conditionalFormatting sqref="I12:J12">
    <cfRule type="expression" dxfId="8" priority="10">
      <formula>$J$3&lt;&gt;SUM($I$4:$J$11)</formula>
    </cfRule>
  </conditionalFormatting>
  <conditionalFormatting sqref="I25:J25">
    <cfRule type="expression" dxfId="7" priority="7">
      <formula>$J$16&lt;&gt;SUM($I$17:$J$24)</formula>
    </cfRule>
  </conditionalFormatting>
  <conditionalFormatting sqref="I37:J37">
    <cfRule type="expression" dxfId="6" priority="4">
      <formula>$J$29&lt;&gt;SUM($I$30:$J$36)</formula>
    </cfRule>
  </conditionalFormatting>
  <conditionalFormatting sqref="O38:R38">
    <cfRule type="cellIs" dxfId="5" priority="1" operator="notEqual">
      <formula>0</formula>
    </cfRule>
  </conditionalFormatting>
  <conditionalFormatting sqref="S12:T12">
    <cfRule type="expression" dxfId="4" priority="9">
      <formula>$T$3&lt;&gt;SUM($S$4:$T$11)</formula>
    </cfRule>
  </conditionalFormatting>
  <conditionalFormatting sqref="S25:T25">
    <cfRule type="expression" dxfId="3" priority="6">
      <formula>$T$16&lt;&gt;SUM($S$17:$T$24)</formula>
    </cfRule>
  </conditionalFormatting>
  <conditionalFormatting sqref="S37:T37">
    <cfRule type="expression" dxfId="2" priority="2">
      <formula>$J$29&lt;&gt;SUM($I$30:$J$36)</formula>
    </cfRule>
  </conditionalFormatting>
  <conditionalFormatting sqref="AC12:AD12">
    <cfRule type="expression" dxfId="1" priority="8">
      <formula>$AD$3&lt;&gt;SUM($AC$4:$AD$11)</formula>
    </cfRule>
  </conditionalFormatting>
  <conditionalFormatting sqref="AC25:AD25">
    <cfRule type="expression" dxfId="0" priority="5">
      <formula>$AD$16&lt;&gt;SUM($AC$17:$AD$24)</formula>
    </cfRule>
  </conditionalFormatting>
  <pageMargins left="0.7" right="0.7" top="0.75" bottom="0.75" header="0.3" footer="0.3"/>
  <pageSetup scale="36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M51"/>
  <sheetViews>
    <sheetView zoomScale="85" zoomScaleNormal="85" workbookViewId="0"/>
  </sheetViews>
  <sheetFormatPr defaultColWidth="9.140625" defaultRowHeight="15" x14ac:dyDescent="0.25"/>
  <cols>
    <col min="1" max="1" width="9.140625" style="12"/>
    <col min="2" max="2" width="68.5703125" style="12" customWidth="1"/>
    <col min="3" max="3" width="6.5703125" style="12" customWidth="1"/>
    <col min="4" max="4" width="9.140625" style="12"/>
    <col min="5" max="5" width="9.7109375" style="12" customWidth="1"/>
    <col min="6" max="6" width="35" style="12" bestFit="1" customWidth="1"/>
    <col min="7" max="7" width="12.7109375" style="12" customWidth="1"/>
    <col min="8" max="8" width="12" style="12" bestFit="1" customWidth="1"/>
    <col min="9" max="9" width="17.7109375" style="13" bestFit="1" customWidth="1"/>
    <col min="10" max="10" width="4.28515625" style="12" bestFit="1" customWidth="1"/>
    <col min="11" max="11" width="9.140625" style="12"/>
    <col min="12" max="12" width="38" style="12" customWidth="1"/>
    <col min="13" max="13" width="9.140625" style="13"/>
    <col min="14" max="16384" width="9.140625" style="12"/>
  </cols>
  <sheetData>
    <row r="1" spans="2:13" ht="15.75" customHeight="1" x14ac:dyDescent="0.25">
      <c r="E1" s="12" t="s">
        <v>71</v>
      </c>
    </row>
    <row r="2" spans="2:13" s="17" customFormat="1" ht="21" customHeight="1" x14ac:dyDescent="0.25">
      <c r="B2" s="15" t="s">
        <v>46</v>
      </c>
      <c r="C2" s="16"/>
      <c r="I2" s="18"/>
      <c r="L2" s="14" t="s">
        <v>72</v>
      </c>
      <c r="M2" s="29">
        <f>'Team Velocity'!AB15</f>
        <v>270</v>
      </c>
    </row>
    <row r="3" spans="2:13" ht="15" customHeight="1" x14ac:dyDescent="0.25">
      <c r="B3" s="123" t="s">
        <v>73</v>
      </c>
    </row>
    <row r="4" spans="2:13" ht="15" customHeight="1" x14ac:dyDescent="0.25">
      <c r="B4" s="123" t="s">
        <v>74</v>
      </c>
    </row>
    <row r="5" spans="2:13" s="17" customFormat="1" x14ac:dyDescent="0.25">
      <c r="B5" s="19" t="s">
        <v>75</v>
      </c>
      <c r="C5" s="16"/>
      <c r="I5" s="18"/>
      <c r="L5" s="12"/>
      <c r="M5" s="18"/>
    </row>
    <row r="6" spans="2:13" ht="15" customHeight="1" x14ac:dyDescent="0.25">
      <c r="B6" s="123" t="s">
        <v>76</v>
      </c>
    </row>
    <row r="7" spans="2:13" ht="15" customHeight="1" x14ac:dyDescent="0.25">
      <c r="B7" s="123" t="s">
        <v>38</v>
      </c>
    </row>
    <row r="8" spans="2:13" ht="15" customHeight="1" x14ac:dyDescent="0.25">
      <c r="B8" s="123" t="s">
        <v>77</v>
      </c>
    </row>
    <row r="9" spans="2:13" ht="15" customHeight="1" x14ac:dyDescent="0.25">
      <c r="B9" s="123" t="s">
        <v>78</v>
      </c>
    </row>
    <row r="10" spans="2:13" ht="15" customHeight="1" x14ac:dyDescent="0.25">
      <c r="B10" s="123" t="s">
        <v>79</v>
      </c>
    </row>
    <row r="11" spans="2:13" s="17" customFormat="1" x14ac:dyDescent="0.25">
      <c r="B11" s="123" t="s">
        <v>80</v>
      </c>
      <c r="C11" s="16"/>
      <c r="I11" s="18"/>
      <c r="M11" s="18"/>
    </row>
    <row r="12" spans="2:13" s="17" customFormat="1" x14ac:dyDescent="0.25">
      <c r="B12" s="124" t="s">
        <v>81</v>
      </c>
      <c r="C12" s="16"/>
      <c r="I12" s="18"/>
      <c r="M12" s="18"/>
    </row>
    <row r="13" spans="2:13" ht="15" customHeight="1" x14ac:dyDescent="0.25">
      <c r="B13" s="123" t="s">
        <v>82</v>
      </c>
    </row>
    <row r="14" spans="2:13" ht="15.75" customHeight="1" x14ac:dyDescent="0.25">
      <c r="B14" s="19" t="s">
        <v>83</v>
      </c>
    </row>
    <row r="15" spans="2:13" ht="15.75" customHeight="1" x14ac:dyDescent="0.25">
      <c r="B15" s="21" t="s">
        <v>49</v>
      </c>
    </row>
    <row r="16" spans="2:13" s="17" customFormat="1" x14ac:dyDescent="0.25">
      <c r="B16" s="123" t="s">
        <v>48</v>
      </c>
      <c r="C16" s="16"/>
      <c r="I16" s="18"/>
      <c r="M16" s="18"/>
    </row>
    <row r="17" spans="2:13" s="17" customFormat="1" x14ac:dyDescent="0.25">
      <c r="B17" s="123" t="s">
        <v>84</v>
      </c>
      <c r="C17" s="16"/>
      <c r="I17" s="18"/>
      <c r="M17" s="18"/>
    </row>
    <row r="18" spans="2:13" s="17" customFormat="1" x14ac:dyDescent="0.25">
      <c r="B18" s="123" t="s">
        <v>85</v>
      </c>
      <c r="C18" s="16"/>
      <c r="I18" s="18"/>
      <c r="M18" s="18"/>
    </row>
    <row r="19" spans="2:13" s="17" customFormat="1" x14ac:dyDescent="0.25">
      <c r="B19" s="206" t="s">
        <v>119</v>
      </c>
      <c r="C19" s="16"/>
      <c r="I19" s="18"/>
      <c r="M19" s="18"/>
    </row>
    <row r="20" spans="2:13" ht="15" customHeight="1" x14ac:dyDescent="0.25">
      <c r="B20" s="22" t="s">
        <v>86</v>
      </c>
      <c r="C20" s="16"/>
    </row>
    <row r="21" spans="2:13" ht="15" customHeight="1" x14ac:dyDescent="0.25">
      <c r="B21" s="123" t="s">
        <v>87</v>
      </c>
    </row>
    <row r="22" spans="2:13" ht="15" customHeight="1" x14ac:dyDescent="0.25">
      <c r="B22" s="123" t="s">
        <v>88</v>
      </c>
    </row>
    <row r="23" spans="2:13" ht="15" customHeight="1" x14ac:dyDescent="0.25">
      <c r="B23" s="123" t="s">
        <v>89</v>
      </c>
      <c r="I23" s="12"/>
    </row>
    <row r="24" spans="2:13" ht="30" x14ac:dyDescent="0.25">
      <c r="B24" s="125" t="s">
        <v>54</v>
      </c>
      <c r="I24" s="12"/>
    </row>
    <row r="25" spans="2:13" ht="15" customHeight="1" x14ac:dyDescent="0.25">
      <c r="B25" s="125" t="s">
        <v>90</v>
      </c>
      <c r="I25" s="12"/>
      <c r="L25" s="16"/>
    </row>
    <row r="26" spans="2:13" x14ac:dyDescent="0.25">
      <c r="B26" s="25" t="s">
        <v>91</v>
      </c>
      <c r="I26" s="12"/>
    </row>
    <row r="27" spans="2:13" ht="15" customHeight="1" x14ac:dyDescent="0.25">
      <c r="B27" s="20"/>
      <c r="E27" s="30"/>
      <c r="F27" s="30" t="s">
        <v>92</v>
      </c>
      <c r="G27" s="30" t="s">
        <v>93</v>
      </c>
      <c r="H27" s="30" t="s">
        <v>94</v>
      </c>
      <c r="I27" s="30" t="s">
        <v>95</v>
      </c>
    </row>
    <row r="28" spans="2:13" ht="15" customHeight="1" x14ac:dyDescent="0.25">
      <c r="E28" s="335" t="s">
        <v>96</v>
      </c>
      <c r="F28" s="104" t="s">
        <v>46</v>
      </c>
      <c r="G28" s="105">
        <v>36</v>
      </c>
      <c r="H28" s="126">
        <f>G28/M2</f>
        <v>0.13333333333333333</v>
      </c>
      <c r="I28" s="338">
        <f>SUM(H28:H30)</f>
        <v>0.79999999999999993</v>
      </c>
    </row>
    <row r="29" spans="2:13" ht="15" customHeight="1" x14ac:dyDescent="0.25">
      <c r="E29" s="335"/>
      <c r="F29" s="104" t="s">
        <v>97</v>
      </c>
      <c r="G29" s="105">
        <v>124</v>
      </c>
      <c r="H29" s="126">
        <f>G29/M2</f>
        <v>0.45925925925925926</v>
      </c>
      <c r="I29" s="338"/>
    </row>
    <row r="30" spans="2:13" ht="15" customHeight="1" x14ac:dyDescent="0.25">
      <c r="E30" s="335"/>
      <c r="F30" s="104" t="s">
        <v>49</v>
      </c>
      <c r="G30" s="105">
        <v>56</v>
      </c>
      <c r="H30" s="126">
        <f>G30/M2</f>
        <v>0.2074074074074074</v>
      </c>
      <c r="I30" s="338"/>
      <c r="L30" s="17"/>
    </row>
    <row r="31" spans="2:13" ht="15" customHeight="1" x14ac:dyDescent="0.25">
      <c r="C31" s="16"/>
      <c r="E31" s="336" t="s">
        <v>98</v>
      </c>
      <c r="F31" s="23" t="s">
        <v>83</v>
      </c>
      <c r="G31" s="24">
        <v>0</v>
      </c>
      <c r="H31" s="127">
        <f>G31/M2</f>
        <v>0</v>
      </c>
      <c r="I31" s="337">
        <f>SUM(H31:H33)</f>
        <v>0.11481481481481481</v>
      </c>
    </row>
    <row r="32" spans="2:13" ht="15.75" customHeight="1" x14ac:dyDescent="0.25">
      <c r="E32" s="336"/>
      <c r="F32" s="23" t="s">
        <v>86</v>
      </c>
      <c r="G32" s="24">
        <v>17</v>
      </c>
      <c r="H32" s="127">
        <f>G32/M2</f>
        <v>6.2962962962962957E-2</v>
      </c>
      <c r="I32" s="337"/>
    </row>
    <row r="33" spans="5:9" ht="15.75" x14ac:dyDescent="0.25">
      <c r="E33" s="336"/>
      <c r="F33" s="23" t="s">
        <v>51</v>
      </c>
      <c r="G33" s="24">
        <v>14</v>
      </c>
      <c r="H33" s="127">
        <f>G33/M2</f>
        <v>5.185185185185185E-2</v>
      </c>
      <c r="I33" s="337"/>
    </row>
    <row r="34" spans="5:9" ht="15.75" x14ac:dyDescent="0.25">
      <c r="E34" s="28"/>
      <c r="F34" s="26" t="s">
        <v>99</v>
      </c>
      <c r="G34" s="27">
        <f>SUM(G28:G33)</f>
        <v>247</v>
      </c>
      <c r="H34" s="28">
        <f>SUM(H28:H33)</f>
        <v>0.91481481481481475</v>
      </c>
      <c r="I34" s="28">
        <f>SUM(I28:I33)</f>
        <v>0.91481481481481475</v>
      </c>
    </row>
    <row r="37" spans="5:9" x14ac:dyDescent="0.25">
      <c r="I37" s="12"/>
    </row>
    <row r="38" spans="5:9" x14ac:dyDescent="0.25">
      <c r="I38" s="12"/>
    </row>
    <row r="39" spans="5:9" x14ac:dyDescent="0.25">
      <c r="I39" s="12"/>
    </row>
    <row r="40" spans="5:9" ht="15.75" x14ac:dyDescent="0.25">
      <c r="F40" s="27" t="str">
        <f>"Total SP : " &amp; ROUND(G34,0)</f>
        <v>Total SP : 247</v>
      </c>
      <c r="I40" s="12"/>
    </row>
    <row r="41" spans="5:9" x14ac:dyDescent="0.25">
      <c r="I41" s="12"/>
    </row>
    <row r="44" spans="5:9" x14ac:dyDescent="0.25">
      <c r="I44" s="12"/>
    </row>
    <row r="45" spans="5:9" x14ac:dyDescent="0.25">
      <c r="I45" s="12"/>
    </row>
    <row r="46" spans="5:9" x14ac:dyDescent="0.25">
      <c r="I46" s="12"/>
    </row>
    <row r="47" spans="5:9" x14ac:dyDescent="0.25">
      <c r="I47" s="12"/>
    </row>
    <row r="48" spans="5:9" x14ac:dyDescent="0.25">
      <c r="I48" s="12"/>
    </row>
    <row r="49" spans="9:9" x14ac:dyDescent="0.25">
      <c r="I49" s="12"/>
    </row>
    <row r="50" spans="9:9" x14ac:dyDescent="0.25">
      <c r="I50" s="12"/>
    </row>
    <row r="51" spans="9:9" x14ac:dyDescent="0.25">
      <c r="I51" s="12"/>
    </row>
  </sheetData>
  <mergeCells count="4">
    <mergeCell ref="E28:E30"/>
    <mergeCell ref="E31:E33"/>
    <mergeCell ref="I31:I33"/>
    <mergeCell ref="I28:I3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7:G25"/>
  <sheetViews>
    <sheetView tabSelected="1" workbookViewId="0">
      <selection activeCell="K22" sqref="K22"/>
    </sheetView>
  </sheetViews>
  <sheetFormatPr defaultColWidth="9.140625" defaultRowHeight="15" x14ac:dyDescent="0.25"/>
  <cols>
    <col min="1" max="1" width="9.140625" style="12"/>
    <col min="2" max="2" width="15.140625" style="13" bestFit="1" customWidth="1"/>
    <col min="3" max="4" width="15.85546875" style="31" customWidth="1"/>
    <col min="5" max="7" width="15.7109375" style="13" customWidth="1"/>
    <col min="8" max="16384" width="9.140625" style="12"/>
  </cols>
  <sheetData>
    <row r="17" spans="2:7" x14ac:dyDescent="0.25">
      <c r="B17" s="32" t="s">
        <v>100</v>
      </c>
      <c r="C17" s="33" t="s">
        <v>101</v>
      </c>
      <c r="D17" s="33" t="s">
        <v>102</v>
      </c>
      <c r="E17" s="32" t="s">
        <v>103</v>
      </c>
      <c r="F17" s="32" t="s">
        <v>104</v>
      </c>
      <c r="G17" s="32" t="s">
        <v>105</v>
      </c>
    </row>
    <row r="18" spans="2:7" x14ac:dyDescent="0.25">
      <c r="B18" s="34" t="str">
        <f>Lookups!C6</f>
        <v>Sprint 1</v>
      </c>
      <c r="C18" s="35">
        <f>Lookups!D6</f>
        <v>42752</v>
      </c>
      <c r="D18" s="35">
        <f>Lookups!E6</f>
        <v>42765</v>
      </c>
      <c r="E18" s="44">
        <f>'Team Velocity'!D15</f>
        <v>36</v>
      </c>
      <c r="F18" s="34">
        <v>0</v>
      </c>
      <c r="G18" s="36">
        <f>F18/E18</f>
        <v>0</v>
      </c>
    </row>
    <row r="19" spans="2:7" x14ac:dyDescent="0.25">
      <c r="B19" s="34" t="str">
        <f>Lookups!C7</f>
        <v>Sprint 2</v>
      </c>
      <c r="C19" s="35">
        <f>Lookups!D7</f>
        <v>42766</v>
      </c>
      <c r="D19" s="35">
        <f>Lookups!E7</f>
        <v>42779</v>
      </c>
      <c r="E19" s="44">
        <f>'Team Velocity'!G15</f>
        <v>36</v>
      </c>
      <c r="F19" s="34">
        <v>0</v>
      </c>
      <c r="G19" s="36">
        <f t="shared" ref="G19:G22" si="0">F19/E19</f>
        <v>0</v>
      </c>
    </row>
    <row r="20" spans="2:7" x14ac:dyDescent="0.25">
      <c r="B20" s="34" t="str">
        <f>Lookups!C8</f>
        <v>Sprint 3</v>
      </c>
      <c r="C20" s="35">
        <f>Lookups!D8</f>
        <v>42780</v>
      </c>
      <c r="D20" s="35">
        <f>Lookups!E8</f>
        <v>42793</v>
      </c>
      <c r="E20" s="44">
        <f>'Team Velocity'!J15</f>
        <v>36</v>
      </c>
      <c r="F20" s="34">
        <v>0</v>
      </c>
      <c r="G20" s="36">
        <f t="shared" si="0"/>
        <v>0</v>
      </c>
    </row>
    <row r="21" spans="2:7" x14ac:dyDescent="0.25">
      <c r="B21" s="34" t="str">
        <f>Lookups!C9</f>
        <v>Sprint 4</v>
      </c>
      <c r="C21" s="35">
        <f>Lookups!D9</f>
        <v>42794</v>
      </c>
      <c r="D21" s="35">
        <f>Lookups!E9</f>
        <v>42807</v>
      </c>
      <c r="E21" s="44">
        <f>'Team Velocity'!M15</f>
        <v>36</v>
      </c>
      <c r="F21" s="34">
        <v>0</v>
      </c>
      <c r="G21" s="36">
        <f t="shared" si="0"/>
        <v>0</v>
      </c>
    </row>
    <row r="22" spans="2:7" x14ac:dyDescent="0.25">
      <c r="B22" s="34" t="str">
        <f>Lookups!C10</f>
        <v>Sprint 5</v>
      </c>
      <c r="C22" s="35">
        <f>Lookups!D10</f>
        <v>42808</v>
      </c>
      <c r="D22" s="35">
        <f>Lookups!E10</f>
        <v>42821</v>
      </c>
      <c r="E22" s="44">
        <f>'Team Velocity'!P15</f>
        <v>36</v>
      </c>
      <c r="F22" s="34">
        <v>0</v>
      </c>
      <c r="G22" s="36">
        <f t="shared" si="0"/>
        <v>0</v>
      </c>
    </row>
    <row r="23" spans="2:7" x14ac:dyDescent="0.25">
      <c r="B23" s="34" t="str">
        <f>Lookups!C11</f>
        <v>Sprint 6</v>
      </c>
      <c r="C23" s="35">
        <f>Lookups!D11</f>
        <v>42822</v>
      </c>
      <c r="D23" s="35">
        <f>Lookups!E11</f>
        <v>42835</v>
      </c>
      <c r="E23" s="44">
        <f>'Team Velocity'!S15</f>
        <v>36</v>
      </c>
      <c r="F23" s="34">
        <v>0</v>
      </c>
      <c r="G23" s="36">
        <f>F23/E23</f>
        <v>0</v>
      </c>
    </row>
    <row r="24" spans="2:7" x14ac:dyDescent="0.25">
      <c r="B24" s="34" t="str">
        <f>Lookups!C12</f>
        <v>Sprint 7</v>
      </c>
      <c r="C24" s="35">
        <f>Lookups!D12</f>
        <v>42836</v>
      </c>
      <c r="D24" s="35">
        <f>Lookups!E12</f>
        <v>42849</v>
      </c>
      <c r="E24" s="44">
        <f>'Team Velocity'!V15</f>
        <v>36</v>
      </c>
      <c r="F24" s="44">
        <v>0</v>
      </c>
      <c r="G24" s="36">
        <f>F24/E24</f>
        <v>0</v>
      </c>
    </row>
    <row r="25" spans="2:7" x14ac:dyDescent="0.25">
      <c r="B25" s="128" t="s">
        <v>28</v>
      </c>
      <c r="C25" s="35"/>
      <c r="D25" s="35"/>
      <c r="E25" s="44">
        <f>SUM(E18:E24)</f>
        <v>252</v>
      </c>
      <c r="F25" s="34">
        <f>SUM(F18:F24)</f>
        <v>0</v>
      </c>
      <c r="G25" s="36">
        <f>F25/E25</f>
        <v>0</v>
      </c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C2:E16"/>
  <sheetViews>
    <sheetView workbookViewId="0">
      <selection activeCell="C14" sqref="C14"/>
    </sheetView>
  </sheetViews>
  <sheetFormatPr defaultColWidth="9.140625" defaultRowHeight="15" x14ac:dyDescent="0.25"/>
  <cols>
    <col min="1" max="2" width="9.140625" style="1"/>
    <col min="3" max="3" width="16.140625" style="1" bestFit="1" customWidth="1"/>
    <col min="4" max="5" width="18.7109375" style="1" customWidth="1"/>
    <col min="6" max="16384" width="9.140625" style="1"/>
  </cols>
  <sheetData>
    <row r="2" spans="3:5" x14ac:dyDescent="0.25">
      <c r="C2" s="48" t="s">
        <v>106</v>
      </c>
      <c r="D2" s="35">
        <v>42752</v>
      </c>
    </row>
    <row r="3" spans="3:5" x14ac:dyDescent="0.25">
      <c r="C3" s="48" t="s">
        <v>107</v>
      </c>
      <c r="D3" s="34">
        <v>14</v>
      </c>
    </row>
    <row r="4" spans="3:5" x14ac:dyDescent="0.25">
      <c r="C4" s="49"/>
      <c r="D4" s="13"/>
    </row>
    <row r="5" spans="3:5" s="47" customFormat="1" ht="16.5" customHeight="1" x14ac:dyDescent="0.2">
      <c r="C5" s="45" t="s">
        <v>100</v>
      </c>
      <c r="D5" s="46" t="s">
        <v>101</v>
      </c>
      <c r="E5" s="46" t="s">
        <v>102</v>
      </c>
    </row>
    <row r="6" spans="3:5" x14ac:dyDescent="0.25">
      <c r="C6" s="34" t="s">
        <v>108</v>
      </c>
      <c r="D6" s="35">
        <f>D2</f>
        <v>42752</v>
      </c>
      <c r="E6" s="35">
        <f>D6+D3-1</f>
        <v>42765</v>
      </c>
    </row>
    <row r="7" spans="3:5" x14ac:dyDescent="0.25">
      <c r="C7" s="34" t="s">
        <v>109</v>
      </c>
      <c r="D7" s="35">
        <f t="shared" ref="D7:D11" si="0">E6+1</f>
        <v>42766</v>
      </c>
      <c r="E7" s="35">
        <f>D7+D3-1</f>
        <v>42779</v>
      </c>
    </row>
    <row r="8" spans="3:5" x14ac:dyDescent="0.25">
      <c r="C8" s="34" t="s">
        <v>110</v>
      </c>
      <c r="D8" s="35">
        <f t="shared" si="0"/>
        <v>42780</v>
      </c>
      <c r="E8" s="35">
        <f>D8+D3-1</f>
        <v>42793</v>
      </c>
    </row>
    <row r="9" spans="3:5" x14ac:dyDescent="0.25">
      <c r="C9" s="34" t="s">
        <v>111</v>
      </c>
      <c r="D9" s="35">
        <f t="shared" si="0"/>
        <v>42794</v>
      </c>
      <c r="E9" s="35">
        <f>D9+D3-1</f>
        <v>42807</v>
      </c>
    </row>
    <row r="10" spans="3:5" x14ac:dyDescent="0.25">
      <c r="C10" s="34" t="s">
        <v>112</v>
      </c>
      <c r="D10" s="35">
        <f t="shared" si="0"/>
        <v>42808</v>
      </c>
      <c r="E10" s="35">
        <f>D10+D3-1</f>
        <v>42821</v>
      </c>
    </row>
    <row r="11" spans="3:5" x14ac:dyDescent="0.25">
      <c r="C11" s="128" t="s">
        <v>113</v>
      </c>
      <c r="D11" s="35">
        <f t="shared" si="0"/>
        <v>42822</v>
      </c>
      <c r="E11" s="35">
        <f>D11+D3-1</f>
        <v>42835</v>
      </c>
    </row>
    <row r="12" spans="3:5" x14ac:dyDescent="0.25">
      <c r="C12" s="128" t="s">
        <v>114</v>
      </c>
      <c r="D12" s="35">
        <f>E11+1</f>
        <v>42836</v>
      </c>
      <c r="E12" s="35">
        <f>D12+D3-1</f>
        <v>42849</v>
      </c>
    </row>
    <row r="13" spans="3:5" x14ac:dyDescent="0.25">
      <c r="C13" s="201" t="s">
        <v>120</v>
      </c>
      <c r="D13" s="35">
        <f>E12+1</f>
        <v>42850</v>
      </c>
      <c r="E13" s="35">
        <f>D13+D3-8</f>
        <v>42856</v>
      </c>
    </row>
    <row r="14" spans="3:5" x14ac:dyDescent="0.25">
      <c r="C14" s="128"/>
      <c r="D14" s="35"/>
      <c r="E14" s="35"/>
    </row>
    <row r="15" spans="3:5" x14ac:dyDescent="0.25">
      <c r="C15" s="128"/>
      <c r="D15" s="35"/>
      <c r="E15" s="35"/>
    </row>
    <row r="16" spans="3:5" x14ac:dyDescent="0.25">
      <c r="C16" s="128"/>
      <c r="D16" s="35"/>
      <c r="E16" s="35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8"/>
  <sheetViews>
    <sheetView workbookViewId="0">
      <selection activeCell="Z4" sqref="Z4"/>
    </sheetView>
  </sheetViews>
  <sheetFormatPr defaultRowHeight="15" x14ac:dyDescent="0.25"/>
  <cols>
    <col min="1" max="1" width="14.5703125" customWidth="1"/>
    <col min="2" max="2" width="10.85546875" style="86" bestFit="1" customWidth="1"/>
    <col min="3" max="3" width="10.140625" style="86" bestFit="1" customWidth="1"/>
    <col min="4" max="4" width="2.140625" style="86" customWidth="1"/>
    <col min="5" max="5" width="10.85546875" style="86" bestFit="1" customWidth="1"/>
    <col min="6" max="6" width="10.140625" style="86" bestFit="1" customWidth="1"/>
    <col min="7" max="7" width="1.42578125" style="86" customWidth="1"/>
    <col min="8" max="8" width="10.85546875" style="86" bestFit="1" customWidth="1"/>
    <col min="9" max="9" width="10.140625" style="86" bestFit="1" customWidth="1"/>
    <col min="10" max="10" width="1.7109375" style="86" customWidth="1"/>
    <col min="11" max="11" width="10.85546875" style="86" bestFit="1" customWidth="1"/>
    <col min="12" max="12" width="10.140625" style="86" bestFit="1" customWidth="1"/>
    <col min="13" max="13" width="1.5703125" style="86" customWidth="1"/>
    <col min="14" max="14" width="10.85546875" style="86" bestFit="1" customWidth="1"/>
    <col min="15" max="15" width="10.140625" style="86" bestFit="1" customWidth="1"/>
    <col min="16" max="16" width="1.28515625" style="86" customWidth="1"/>
    <col min="17" max="17" width="10.85546875" style="86" bestFit="1" customWidth="1"/>
    <col min="18" max="18" width="10.140625" style="86" bestFit="1" customWidth="1"/>
    <col min="19" max="19" width="1" style="86" customWidth="1"/>
    <col min="20" max="20" width="10.85546875" style="86" bestFit="1" customWidth="1"/>
    <col min="21" max="21" width="10.140625" style="86" bestFit="1" customWidth="1"/>
    <col min="22" max="22" width="1.28515625" style="86" customWidth="1"/>
    <col min="23" max="23" width="9.140625" style="86"/>
    <col min="24" max="24" width="10.140625" style="86" bestFit="1" customWidth="1"/>
    <col min="25" max="25" width="1.140625" style="86" customWidth="1"/>
    <col min="26" max="26" width="9.140625" style="86"/>
    <col min="27" max="27" width="10.140625" style="86" bestFit="1" customWidth="1"/>
  </cols>
  <sheetData>
    <row r="2" spans="1:27" ht="19.5" thickBot="1" x14ac:dyDescent="0.35">
      <c r="A2" s="82"/>
      <c r="B2" s="87"/>
      <c r="C2" s="87" t="s">
        <v>108</v>
      </c>
      <c r="D2" s="87"/>
      <c r="E2" s="87"/>
      <c r="F2" s="87" t="s">
        <v>109</v>
      </c>
      <c r="G2" s="87"/>
      <c r="H2" s="87"/>
      <c r="I2" s="87" t="s">
        <v>110</v>
      </c>
      <c r="J2" s="87"/>
      <c r="K2" s="87"/>
      <c r="L2" s="87" t="s">
        <v>111</v>
      </c>
      <c r="M2" s="87"/>
      <c r="N2" s="87"/>
      <c r="O2" s="87" t="s">
        <v>112</v>
      </c>
      <c r="P2" s="87"/>
      <c r="Q2" s="87"/>
      <c r="R2" s="87" t="s">
        <v>113</v>
      </c>
      <c r="S2" s="87"/>
      <c r="T2" s="87"/>
      <c r="U2" s="87" t="s">
        <v>114</v>
      </c>
      <c r="V2" s="87"/>
      <c r="W2" s="87"/>
      <c r="X2" s="87" t="s">
        <v>115</v>
      </c>
      <c r="Y2" s="87"/>
      <c r="Z2" s="87"/>
      <c r="AA2" s="87" t="s">
        <v>116</v>
      </c>
    </row>
    <row r="3" spans="1:27" ht="18.75" x14ac:dyDescent="0.3">
      <c r="A3" s="83"/>
      <c r="B3" s="88" t="s">
        <v>117</v>
      </c>
      <c r="C3" s="94" t="s">
        <v>118</v>
      </c>
      <c r="D3" s="87"/>
      <c r="E3" s="88" t="s">
        <v>117</v>
      </c>
      <c r="F3" s="94" t="s">
        <v>118</v>
      </c>
      <c r="G3" s="87"/>
      <c r="H3" s="88" t="s">
        <v>117</v>
      </c>
      <c r="I3" s="94" t="s">
        <v>118</v>
      </c>
      <c r="J3" s="87"/>
      <c r="K3" s="88" t="s">
        <v>117</v>
      </c>
      <c r="L3" s="94" t="s">
        <v>118</v>
      </c>
      <c r="M3" s="87"/>
      <c r="N3" s="88" t="s">
        <v>117</v>
      </c>
      <c r="O3" s="94" t="s">
        <v>118</v>
      </c>
      <c r="P3" s="87"/>
      <c r="Q3" s="88" t="s">
        <v>117</v>
      </c>
      <c r="R3" s="94" t="s">
        <v>118</v>
      </c>
      <c r="S3" s="87"/>
      <c r="T3" s="88" t="s">
        <v>117</v>
      </c>
      <c r="U3" s="94" t="s">
        <v>118</v>
      </c>
      <c r="V3" s="87"/>
      <c r="W3" s="97" t="s">
        <v>117</v>
      </c>
      <c r="X3" s="94" t="s">
        <v>118</v>
      </c>
      <c r="Y3" s="87"/>
      <c r="Z3" s="97" t="s">
        <v>117</v>
      </c>
      <c r="AA3" s="89" t="s">
        <v>118</v>
      </c>
    </row>
    <row r="4" spans="1:27" ht="25.5" customHeight="1" x14ac:dyDescent="0.3">
      <c r="A4" s="84" t="s">
        <v>13</v>
      </c>
      <c r="B4" s="90">
        <v>8</v>
      </c>
      <c r="C4" s="95">
        <v>8</v>
      </c>
      <c r="E4" s="98">
        <v>8</v>
      </c>
      <c r="F4" s="95">
        <v>8</v>
      </c>
      <c r="H4" s="100">
        <v>7</v>
      </c>
      <c r="I4" s="95">
        <v>7</v>
      </c>
      <c r="K4" s="100">
        <v>5</v>
      </c>
      <c r="L4" s="95">
        <v>5</v>
      </c>
      <c r="N4" s="100">
        <v>8</v>
      </c>
      <c r="O4" s="95">
        <v>8</v>
      </c>
      <c r="Q4" s="100">
        <v>8</v>
      </c>
      <c r="R4" s="95">
        <v>8</v>
      </c>
      <c r="T4" s="100">
        <v>8</v>
      </c>
      <c r="U4" s="95">
        <v>8</v>
      </c>
      <c r="W4" s="100">
        <v>8</v>
      </c>
      <c r="X4" s="95"/>
      <c r="Z4" s="100">
        <v>4</v>
      </c>
      <c r="AA4" s="91"/>
    </row>
    <row r="5" spans="1:27" ht="24.75" customHeight="1" x14ac:dyDescent="0.3">
      <c r="A5" s="84" t="s">
        <v>15</v>
      </c>
      <c r="B5" s="90">
        <v>8</v>
      </c>
      <c r="C5" s="95">
        <v>8</v>
      </c>
      <c r="E5" s="98">
        <v>7</v>
      </c>
      <c r="F5" s="95">
        <v>7</v>
      </c>
      <c r="H5" s="100">
        <v>8</v>
      </c>
      <c r="I5" s="95">
        <v>8</v>
      </c>
      <c r="K5" s="100">
        <v>4</v>
      </c>
      <c r="L5" s="95">
        <v>4</v>
      </c>
      <c r="N5" s="100">
        <v>8</v>
      </c>
      <c r="O5" s="95">
        <v>8</v>
      </c>
      <c r="Q5" s="100">
        <v>6</v>
      </c>
      <c r="R5" s="95">
        <v>6</v>
      </c>
      <c r="T5" s="100">
        <v>8</v>
      </c>
      <c r="U5" s="95">
        <v>8</v>
      </c>
      <c r="W5" s="100">
        <v>6</v>
      </c>
      <c r="X5" s="95">
        <v>1</v>
      </c>
      <c r="Z5" s="100">
        <v>4</v>
      </c>
      <c r="AA5" s="91">
        <v>1</v>
      </c>
    </row>
    <row r="6" spans="1:27" ht="29.25" customHeight="1" x14ac:dyDescent="0.3">
      <c r="A6" s="84" t="s">
        <v>10</v>
      </c>
      <c r="B6" s="90">
        <v>8</v>
      </c>
      <c r="C6" s="95">
        <v>8</v>
      </c>
      <c r="E6" s="98">
        <v>7</v>
      </c>
      <c r="F6" s="95">
        <v>7</v>
      </c>
      <c r="H6" s="100">
        <v>6</v>
      </c>
      <c r="I6" s="95">
        <v>6</v>
      </c>
      <c r="K6" s="100">
        <v>6</v>
      </c>
      <c r="L6" s="95">
        <v>6</v>
      </c>
      <c r="N6" s="100">
        <v>8</v>
      </c>
      <c r="O6" s="95">
        <v>8</v>
      </c>
      <c r="Q6" s="100">
        <v>8</v>
      </c>
      <c r="R6" s="95">
        <v>8</v>
      </c>
      <c r="T6" s="100">
        <v>8</v>
      </c>
      <c r="U6" s="95">
        <v>8</v>
      </c>
      <c r="W6" s="100">
        <v>8</v>
      </c>
      <c r="X6" s="95">
        <v>1</v>
      </c>
      <c r="Z6" s="100">
        <v>4</v>
      </c>
      <c r="AA6" s="91">
        <v>1</v>
      </c>
    </row>
    <row r="7" spans="1:27" ht="24.75" customHeight="1" thickBot="1" x14ac:dyDescent="0.35">
      <c r="A7" s="85" t="s">
        <v>9</v>
      </c>
      <c r="B7" s="92">
        <v>8</v>
      </c>
      <c r="C7" s="96">
        <v>8</v>
      </c>
      <c r="E7" s="99">
        <v>7</v>
      </c>
      <c r="F7" s="96">
        <v>7</v>
      </c>
      <c r="H7" s="101">
        <v>6</v>
      </c>
      <c r="I7" s="95">
        <v>6</v>
      </c>
      <c r="K7" s="101">
        <v>5</v>
      </c>
      <c r="L7" s="96">
        <v>5</v>
      </c>
      <c r="N7" s="101">
        <v>8</v>
      </c>
      <c r="O7" s="96">
        <v>8</v>
      </c>
      <c r="Q7" s="101">
        <v>8</v>
      </c>
      <c r="R7" s="96">
        <v>8</v>
      </c>
      <c r="T7" s="101">
        <v>8</v>
      </c>
      <c r="U7" s="96">
        <v>8</v>
      </c>
      <c r="W7" s="101">
        <v>8</v>
      </c>
      <c r="X7" s="96">
        <v>1</v>
      </c>
      <c r="Z7" s="101">
        <v>4</v>
      </c>
      <c r="AA7" s="93">
        <v>1</v>
      </c>
    </row>
    <row r="8" spans="1:27" ht="18.75" x14ac:dyDescent="0.3">
      <c r="A8" s="82"/>
      <c r="B8" s="87"/>
    </row>
  </sheetData>
  <pageMargins left="0.7" right="0.7" top="0.75" bottom="0.75" header="0.3" footer="0.3"/>
  <pageSetup paperSize="25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683531DD36A44087E2088D5A1FFCA6" ma:contentTypeVersion="3" ma:contentTypeDescription="Create a new document." ma:contentTypeScope="" ma:versionID="dfb389857b0ee07c78a58845db8b3e0f">
  <xsd:schema xmlns:xsd="http://www.w3.org/2001/XMLSchema" xmlns:xs="http://www.w3.org/2001/XMLSchema" xmlns:p="http://schemas.microsoft.com/office/2006/metadata/properties" xmlns:ns2="86f4b267-6499-4141-aca4-716187a84f2c" xmlns:ns3="57e49805-8272-4f20-89bc-5c4516dc12d3" targetNamespace="http://schemas.microsoft.com/office/2006/metadata/properties" ma:root="true" ma:fieldsID="cf796eb6aa92be2830bbc38fbb867101" ns2:_="" ns3:_="">
    <xsd:import namespace="86f4b267-6499-4141-aca4-716187a84f2c"/>
    <xsd:import namespace="57e49805-8272-4f20-89bc-5c4516dc12d3"/>
    <xsd:element name="properties">
      <xsd:complexType>
        <xsd:sequence>
          <xsd:element name="documentManagement">
            <xsd:complexType>
              <xsd:all>
                <xsd:element ref="ns2:Updated_x0020_Dat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f4b267-6499-4141-aca4-716187a84f2c" elementFormDefault="qualified">
    <xsd:import namespace="http://schemas.microsoft.com/office/2006/documentManagement/types"/>
    <xsd:import namespace="http://schemas.microsoft.com/office/infopath/2007/PartnerControls"/>
    <xsd:element name="Updated_x0020_Date" ma:index="8" nillable="true" ma:displayName="Updated Date" ma:format="DateTime" ma:internalName="Updated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e49805-8272-4f20-89bc-5c4516dc12d3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dated_x0020_Date xmlns="86f4b267-6499-4141-aca4-716187a84f2c" xsi:nil="true"/>
  </documentManagement>
</p:properties>
</file>

<file path=customXml/itemProps1.xml><?xml version="1.0" encoding="utf-8"?>
<ds:datastoreItem xmlns:ds="http://schemas.openxmlformats.org/officeDocument/2006/customXml" ds:itemID="{3FC5167F-9B47-4E44-B5F7-86D195A372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4F51BF-6CA7-4190-A424-F0E253F783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f4b267-6499-4141-aca4-716187a84f2c"/>
    <ds:schemaRef ds:uri="57e49805-8272-4f20-89bc-5c4516dc12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1CC0CF-0EA8-4DEA-AFC7-DEA23F87B434}">
  <ds:schemaRefs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57e49805-8272-4f20-89bc-5c4516dc12d3"/>
    <ds:schemaRef ds:uri="http://schemas.microsoft.com/office/2006/documentManagement/types"/>
    <ds:schemaRef ds:uri="http://purl.org/dc/terms/"/>
    <ds:schemaRef ds:uri="http://www.w3.org/XML/1998/namespace"/>
    <ds:schemaRef ds:uri="86f4b267-6499-4141-aca4-716187a84f2c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Team</vt:lpstr>
      <vt:lpstr>Team Velocity</vt:lpstr>
      <vt:lpstr>Objective </vt:lpstr>
      <vt:lpstr>Release Board </vt:lpstr>
      <vt:lpstr>Sprints Board</vt:lpstr>
      <vt:lpstr>Risks and Dependencies</vt:lpstr>
      <vt:lpstr>Sprints Board Breakdown</vt:lpstr>
      <vt:lpstr>Release Breakdown - Mgmt</vt:lpstr>
      <vt:lpstr>Commit vs Achieved Chart - Mgmt</vt:lpstr>
      <vt:lpstr>Lookups</vt:lpstr>
      <vt:lpstr>Work Distribution</vt:lpstr>
      <vt:lpstr>'Objective 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Shannon Kornis</dc:creator>
  <cp:keywords/>
  <dc:description/>
  <cp:lastModifiedBy>Shannon Kornis</cp:lastModifiedBy>
  <cp:revision/>
  <cp:lastPrinted>2017-02-07T17:32:40Z</cp:lastPrinted>
  <dcterms:created xsi:type="dcterms:W3CDTF">2014-08-12T12:24:28Z</dcterms:created>
  <dcterms:modified xsi:type="dcterms:W3CDTF">2026-01-19T20:21:31Z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0x01010084683531DD36A44087E2088D5A1FFCA6</vt:lpwstr>
  </property>
</Properties>
</file>